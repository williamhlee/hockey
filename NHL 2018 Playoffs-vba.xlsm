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585" yWindow="0" windowWidth="4020" windowHeight="1275" tabRatio="909"/>
  </bookViews>
  <sheets>
    <sheet name="All Picks" sheetId="18" r:id="rId1"/>
  </sheets>
  <functionGroups builtInGroupCount="17"/>
  <calcPr calcId="145621"/>
</workbook>
</file>

<file path=xl/calcChain.xml><?xml version="1.0" encoding="utf-8"?>
<calcChain xmlns="http://schemas.openxmlformats.org/spreadsheetml/2006/main">
  <c r="BT23" i="18" l="1"/>
  <c r="BV23" i="18"/>
  <c r="BX23" i="18"/>
  <c r="BZ23" i="18"/>
  <c r="CB23" i="18"/>
  <c r="CD23" i="18"/>
  <c r="BT20" i="18"/>
  <c r="BV20" i="18"/>
  <c r="BX20" i="18"/>
  <c r="BZ20" i="18"/>
  <c r="CB20" i="18"/>
  <c r="CD20" i="18"/>
  <c r="BT16" i="18"/>
  <c r="BV16" i="18"/>
  <c r="BX16" i="18"/>
  <c r="BZ16" i="18"/>
  <c r="CB16" i="18"/>
  <c r="CD16" i="18"/>
  <c r="BT10" i="18"/>
  <c r="BV10" i="18"/>
  <c r="BX10" i="18"/>
  <c r="BZ10" i="18"/>
  <c r="CB10" i="18"/>
  <c r="CD10" i="18"/>
  <c r="C22" i="18"/>
  <c r="A22" i="18"/>
  <c r="C19" i="18"/>
  <c r="C18" i="18"/>
  <c r="A19" i="18"/>
  <c r="A18" i="18"/>
  <c r="C15" i="18"/>
  <c r="C14" i="18"/>
  <c r="C13" i="18"/>
  <c r="C12" i="18"/>
  <c r="A15" i="18"/>
  <c r="A14" i="18"/>
  <c r="A13" i="18"/>
  <c r="A12" i="18"/>
  <c r="CD25" i="18" l="1"/>
  <c r="BZ25" i="18"/>
  <c r="CB25" i="18"/>
  <c r="BX25" i="18"/>
  <c r="BV25" i="18"/>
  <c r="BT25" i="18"/>
  <c r="BR23" i="18"/>
  <c r="BP23" i="18"/>
  <c r="BN23" i="18"/>
  <c r="BL23" i="18"/>
  <c r="BJ23" i="18"/>
  <c r="BH23" i="18"/>
  <c r="BF23" i="18"/>
  <c r="BD23" i="18"/>
  <c r="BB23" i="18"/>
  <c r="AZ23" i="18"/>
  <c r="AX23" i="18"/>
  <c r="AV23" i="18"/>
  <c r="AT23" i="18"/>
  <c r="AR23" i="18"/>
  <c r="AP23" i="18"/>
  <c r="AN23" i="18"/>
  <c r="AL23" i="18"/>
  <c r="AJ23" i="18"/>
  <c r="AH23" i="18"/>
  <c r="AF23" i="18"/>
  <c r="AD23" i="18"/>
  <c r="AB23" i="18"/>
  <c r="Z23" i="18"/>
  <c r="X23" i="18"/>
  <c r="V23" i="18"/>
  <c r="T23" i="18"/>
  <c r="R23" i="18"/>
  <c r="P23" i="18"/>
  <c r="N23" i="18"/>
  <c r="L23" i="18"/>
  <c r="J23" i="18"/>
  <c r="H23" i="18"/>
  <c r="BR20" i="18"/>
  <c r="BP20" i="18"/>
  <c r="BN20" i="18"/>
  <c r="BL20" i="18"/>
  <c r="BJ20" i="18"/>
  <c r="BH20" i="18"/>
  <c r="BF20" i="18"/>
  <c r="BD20" i="18"/>
  <c r="BB20" i="18"/>
  <c r="AZ20" i="18"/>
  <c r="AX20" i="18"/>
  <c r="AV20" i="18"/>
  <c r="AT20" i="18"/>
  <c r="AR20" i="18"/>
  <c r="AP20" i="18"/>
  <c r="AN20" i="18"/>
  <c r="AL20" i="18"/>
  <c r="AJ20" i="18"/>
  <c r="AH20" i="18"/>
  <c r="AF20" i="18"/>
  <c r="AD20" i="18"/>
  <c r="AB20" i="18"/>
  <c r="Z20" i="18"/>
  <c r="X20" i="18"/>
  <c r="V20" i="18"/>
  <c r="T20" i="18"/>
  <c r="R20" i="18"/>
  <c r="P20" i="18"/>
  <c r="N20" i="18"/>
  <c r="L20" i="18"/>
  <c r="J20" i="18"/>
  <c r="H20" i="18"/>
  <c r="BR16" i="18"/>
  <c r="BP16" i="18"/>
  <c r="BN16" i="18"/>
  <c r="BL16" i="18"/>
  <c r="BJ16" i="18"/>
  <c r="BH16" i="18"/>
  <c r="BF16" i="18"/>
  <c r="BD16" i="18"/>
  <c r="BB16" i="18"/>
  <c r="AZ16" i="18"/>
  <c r="AX16" i="18"/>
  <c r="AV16" i="18"/>
  <c r="AT16" i="18"/>
  <c r="AR16" i="18"/>
  <c r="AP16" i="18"/>
  <c r="AN16" i="18"/>
  <c r="AL16" i="18"/>
  <c r="AJ16" i="18"/>
  <c r="AH16" i="18"/>
  <c r="AF16" i="18"/>
  <c r="AD16" i="18"/>
  <c r="AB16" i="18"/>
  <c r="Z16" i="18"/>
  <c r="X16" i="18"/>
  <c r="V16" i="18"/>
  <c r="T16" i="18"/>
  <c r="R16" i="18"/>
  <c r="P16" i="18"/>
  <c r="N16" i="18"/>
  <c r="L16" i="18"/>
  <c r="J16" i="18"/>
  <c r="H16" i="18"/>
  <c r="BR10" i="18"/>
  <c r="BP10" i="18"/>
  <c r="BN10" i="18"/>
  <c r="BL10" i="18"/>
  <c r="BJ10" i="18"/>
  <c r="BH10" i="18"/>
  <c r="BF10" i="18"/>
  <c r="BD10" i="18"/>
  <c r="BB10" i="18"/>
  <c r="AZ10" i="18"/>
  <c r="AX10" i="18"/>
  <c r="AV10" i="18"/>
  <c r="AT10" i="18"/>
  <c r="AR10" i="18"/>
  <c r="AP10" i="18"/>
  <c r="AN10" i="18"/>
  <c r="AL10" i="18"/>
  <c r="AJ10" i="18"/>
  <c r="AH10" i="18"/>
  <c r="AF10" i="18"/>
  <c r="AD10" i="18"/>
  <c r="AB10" i="18"/>
  <c r="Z10" i="18"/>
  <c r="X10" i="18"/>
  <c r="V10" i="18"/>
  <c r="T10" i="18"/>
  <c r="R10" i="18"/>
  <c r="P10" i="18"/>
  <c r="N10" i="18"/>
  <c r="L10" i="18"/>
  <c r="J10" i="18"/>
  <c r="H10" i="18"/>
  <c r="AB25" i="18" l="1"/>
  <c r="AN25" i="18"/>
  <c r="X25" i="18"/>
  <c r="BN25" i="18"/>
  <c r="AX25" i="18"/>
  <c r="BR25" i="18"/>
  <c r="BB25" i="18"/>
  <c r="AZ25" i="18"/>
  <c r="BP25" i="18"/>
  <c r="AL25" i="18"/>
  <c r="BL25" i="18"/>
  <c r="AV25" i="18"/>
  <c r="T25" i="18"/>
  <c r="AR25" i="18"/>
  <c r="L25" i="18"/>
  <c r="H25" i="18"/>
  <c r="BH25" i="18"/>
  <c r="J25" i="18"/>
  <c r="AF25" i="18"/>
  <c r="P25" i="18"/>
  <c r="V25" i="18"/>
  <c r="BJ25" i="18"/>
  <c r="AT25" i="18"/>
  <c r="N25" i="18"/>
  <c r="AD25" i="18"/>
  <c r="AP25" i="18"/>
  <c r="AJ25" i="18"/>
  <c r="Z25" i="18"/>
  <c r="BF25" i="18"/>
  <c r="BD25" i="18"/>
  <c r="R25" i="18"/>
  <c r="AH25" i="18"/>
</calcChain>
</file>

<file path=xl/sharedStrings.xml><?xml version="1.0" encoding="utf-8"?>
<sst xmlns="http://schemas.openxmlformats.org/spreadsheetml/2006/main" count="675" uniqueCount="59">
  <si>
    <t>Tom</t>
  </si>
  <si>
    <t>Susan</t>
  </si>
  <si>
    <t>Bill</t>
  </si>
  <si>
    <t>Rich</t>
  </si>
  <si>
    <t>Jay</t>
  </si>
  <si>
    <t>#</t>
  </si>
  <si>
    <t>Total</t>
  </si>
  <si>
    <t>Mike</t>
  </si>
  <si>
    <t>Chris</t>
  </si>
  <si>
    <t>Pat</t>
  </si>
  <si>
    <t>Adam</t>
  </si>
  <si>
    <t>Anaheim</t>
  </si>
  <si>
    <t>Pittsburgh</t>
  </si>
  <si>
    <t>Washington</t>
  </si>
  <si>
    <t>San Jose</t>
  </si>
  <si>
    <t>Paul</t>
  </si>
  <si>
    <t>Minnesota</t>
  </si>
  <si>
    <t>Fitch</t>
  </si>
  <si>
    <t>John</t>
  </si>
  <si>
    <t>Seth</t>
  </si>
  <si>
    <t>Nashville</t>
  </si>
  <si>
    <t>Winner</t>
  </si>
  <si>
    <t>Don</t>
  </si>
  <si>
    <t>Jeff</t>
  </si>
  <si>
    <t>Jon</t>
  </si>
  <si>
    <t>MaryBeth</t>
  </si>
  <si>
    <t>Neal</t>
  </si>
  <si>
    <t>Terry</t>
  </si>
  <si>
    <t>TNelson</t>
  </si>
  <si>
    <t>Boston</t>
  </si>
  <si>
    <t>Toronto</t>
  </si>
  <si>
    <t>Columbus</t>
  </si>
  <si>
    <t>team1</t>
  </si>
  <si>
    <t>team2</t>
  </si>
  <si>
    <t>Barry</t>
  </si>
  <si>
    <t>BenS</t>
  </si>
  <si>
    <t>BenT</t>
  </si>
  <si>
    <t>EricK</t>
  </si>
  <si>
    <t>EricL</t>
  </si>
  <si>
    <t>George</t>
  </si>
  <si>
    <t>Greg</t>
  </si>
  <si>
    <t>JJ</t>
  </si>
  <si>
    <t>KevinC</t>
  </si>
  <si>
    <t>KevinK</t>
  </si>
  <si>
    <t>Lucas</t>
  </si>
  <si>
    <t>Matt</t>
  </si>
  <si>
    <t>Noah</t>
  </si>
  <si>
    <t>Pickle</t>
  </si>
  <si>
    <t>Ray</t>
  </si>
  <si>
    <t>ScottM</t>
  </si>
  <si>
    <t>ScottVdM</t>
  </si>
  <si>
    <t>Vineel</t>
  </si>
  <si>
    <t>Tampa Bay</t>
  </si>
  <si>
    <t>New Jersey</t>
  </si>
  <si>
    <t>Philadelphia</t>
  </si>
  <si>
    <t>Winnipeg</t>
  </si>
  <si>
    <t>Vegas</t>
  </si>
  <si>
    <t>Los Angeles</t>
  </si>
  <si>
    <t>Colorado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</si>
</sst>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Arial"/>
    </font>
    <font>
      <sz val="10"/>
      <color theme="1"/>
      <name val="Arial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7" fillId="0" borderId="0"/>
    <xf numFmtId="0" fontId="8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1" fillId="0" borderId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Border="1"/>
    <xf numFmtId="0" fontId="0" fillId="0" borderId="0" xfId="0" applyFill="1"/>
    <xf numFmtId="0" fontId="5" fillId="0" borderId="0" xfId="0" applyFont="1" applyBorder="1"/>
    <xf numFmtId="0" fontId="0" fillId="0" borderId="0" xfId="0" applyBorder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0" xfId="1" applyFont="1" applyBorder="1"/>
    <xf numFmtId="0" fontId="4" fillId="0" borderId="0" xfId="3"/>
    <xf numFmtId="0" fontId="5" fillId="0" borderId="0" xfId="3" applyFont="1"/>
    <xf numFmtId="0" fontId="4" fillId="0" borderId="0" xfId="4" applyFont="1" applyBorder="1"/>
    <xf numFmtId="0" fontId="4" fillId="0" borderId="0" xfId="4"/>
    <xf numFmtId="0" fontId="4" fillId="0" borderId="0" xfId="4" applyFont="1" applyBorder="1"/>
    <xf numFmtId="0" fontId="4" fillId="0" borderId="0" xfId="4"/>
    <xf numFmtId="0" fontId="4" fillId="0" borderId="0" xfId="3"/>
    <xf numFmtId="0" fontId="4" fillId="0" borderId="0" xfId="4" applyFont="1" applyBorder="1"/>
    <xf numFmtId="0" fontId="9" fillId="0" borderId="0" xfId="0" applyFont="1"/>
    <xf numFmtId="0" fontId="10" fillId="0" borderId="0" xfId="0" applyFont="1"/>
    <xf numFmtId="0" fontId="9" fillId="2" borderId="0" xfId="0" applyFont="1" applyFill="1"/>
    <xf numFmtId="0" fontId="10" fillId="2" borderId="0" xfId="0" applyFont="1" applyFill="1"/>
    <xf numFmtId="0" fontId="5" fillId="2" borderId="0" xfId="0" applyFont="1" applyFill="1" applyBorder="1" applyAlignment="1">
      <alignment horizontal="center"/>
    </xf>
    <xf numFmtId="0" fontId="4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6" fillId="2" borderId="0" xfId="0" applyFont="1" applyFill="1" applyAlignment="1">
      <alignment horizontal="center"/>
    </xf>
    <xf numFmtId="0" fontId="2" fillId="2" borderId="0" xfId="0" applyFont="1" applyFill="1"/>
    <xf numFmtId="0" fontId="9" fillId="0" borderId="0" xfId="0" applyFont="1" applyFill="1"/>
    <xf numFmtId="0" fontId="10" fillId="0" borderId="0" xfId="0" applyFont="1" applyFill="1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2" fillId="0" borderId="0" xfId="0" applyFont="1" applyFill="1"/>
    <xf numFmtId="0" fontId="2" fillId="0" borderId="0" xfId="0" applyFont="1" applyFill="1" applyAlignment="1">
      <alignment horizontal="center"/>
    </xf>
    <xf numFmtId="0" fontId="12" fillId="0" borderId="0" xfId="0" applyFont="1"/>
  </cellXfs>
  <cellStyles count="9">
    <cellStyle name="Normal" xfId="0" builtinId="0"/>
    <cellStyle name="Normal 2" xfId="1"/>
    <cellStyle name="Normal 2 2" xfId="4"/>
    <cellStyle name="Normal 2 3" xfId="7"/>
    <cellStyle name="Normal 3" xfId="2"/>
    <cellStyle name="Normal 3 2" xfId="5"/>
    <cellStyle name="Normal 3 3" xfId="8"/>
    <cellStyle name="Normal 4" xfId="3"/>
    <cellStyle name="Normal 5" xfId="6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47625</xdr:rowOff>
        </xdr:from>
        <xdr:to>
          <xdr:col>0</xdr:col>
          <xdr:colOff>676275</xdr:colOff>
          <xdr:row>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D44"/>
  <sheetViews>
    <sheetView tabSelected="1" zoomScale="120" zoomScaleNormal="120" workbookViewId="0">
      <pane ySplit="1" topLeftCell="A2" activePane="bottomLeft" state="frozen"/>
      <selection pane="bottomLeft" activeCell="A12" sqref="A12:D15"/>
    </sheetView>
  </sheetViews>
  <sheetFormatPr defaultColWidth="8.85546875" defaultRowHeight="12.75" x14ac:dyDescent="0.2"/>
  <cols>
    <col min="1" max="1" width="10.85546875" bestFit="1" customWidth="1"/>
    <col min="2" max="2" width="2" bestFit="1" customWidth="1"/>
    <col min="3" max="3" width="11.28515625" bestFit="1" customWidth="1"/>
    <col min="4" max="4" width="2" bestFit="1" customWidth="1"/>
    <col min="5" max="5" width="10.42578125" customWidth="1"/>
    <col min="6" max="6" width="2" customWidth="1"/>
    <col min="7" max="7" width="2.140625" customWidth="1"/>
    <col min="8" max="8" width="2.140625" style="3" customWidth="1"/>
    <col min="9" max="9" width="2.140625" customWidth="1"/>
    <col min="10" max="10" width="2.140625" style="3" customWidth="1"/>
    <col min="11" max="11" width="2.140625" customWidth="1"/>
    <col min="12" max="12" width="2.140625" style="3" customWidth="1"/>
    <col min="13" max="13" width="0.28515625" style="9" customWidth="1"/>
    <col min="14" max="14" width="0.28515625" style="44" customWidth="1"/>
    <col min="15" max="15" width="0.85546875" customWidth="1"/>
    <col min="16" max="16" width="0.85546875" style="3" customWidth="1"/>
    <col min="17" max="17" width="2.28515625" customWidth="1"/>
    <col min="18" max="18" width="2.28515625" style="3" customWidth="1"/>
    <col min="19" max="19" width="10.85546875" style="33" bestFit="1" customWidth="1"/>
    <col min="20" max="20" width="3.5703125" style="34" bestFit="1" customWidth="1"/>
    <col min="21" max="21" width="0.85546875" customWidth="1"/>
    <col min="22" max="22" width="0.85546875" style="3" customWidth="1"/>
    <col min="23" max="23" width="0.85546875" customWidth="1"/>
    <col min="24" max="24" width="0.85546875" style="3" customWidth="1"/>
    <col min="25" max="25" width="0.85546875" customWidth="1"/>
    <col min="26" max="26" width="0.85546875" style="3" customWidth="1"/>
    <col min="27" max="27" width="0.85546875" customWidth="1"/>
    <col min="28" max="28" width="0.85546875" style="3" customWidth="1"/>
    <col min="29" max="29" width="10.85546875" style="33" bestFit="1" customWidth="1"/>
    <col min="30" max="30" width="3.5703125" style="34" bestFit="1" customWidth="1"/>
    <col min="31" max="31" width="0.85546875" customWidth="1"/>
    <col min="32" max="32" width="0.85546875" style="3" customWidth="1"/>
    <col min="33" max="33" width="0.85546875" customWidth="1"/>
    <col min="34" max="34" width="0.85546875" style="3" customWidth="1"/>
    <col min="35" max="35" width="10.85546875" style="33" bestFit="1" customWidth="1"/>
    <col min="36" max="36" width="3.5703125" style="34" bestFit="1" customWidth="1"/>
    <col min="37" max="37" width="1" customWidth="1"/>
    <col min="38" max="38" width="1" style="3" customWidth="1"/>
    <col min="39" max="39" width="1" customWidth="1"/>
    <col min="40" max="40" width="1" style="3" customWidth="1"/>
    <col min="41" max="41" width="10.85546875" style="33" bestFit="1" customWidth="1"/>
    <col min="42" max="42" width="3.5703125" style="34" bestFit="1" customWidth="1"/>
    <col min="43" max="43" width="0.5703125" customWidth="1"/>
    <col min="44" max="44" width="0.5703125" style="3" customWidth="1"/>
    <col min="45" max="45" width="0.42578125" style="9" customWidth="1"/>
    <col min="46" max="46" width="0.42578125" style="44" customWidth="1"/>
    <col min="47" max="74" width="0.5703125" customWidth="1"/>
    <col min="75" max="75" width="10.85546875" style="33" bestFit="1" customWidth="1"/>
    <col min="76" max="76" width="3.5703125" style="33" bestFit="1" customWidth="1"/>
    <col min="77" max="82" width="2.140625" customWidth="1"/>
  </cols>
  <sheetData>
    <row r="1" spans="1:82" x14ac:dyDescent="0.2">
      <c r="A1" s="4" t="s">
        <v>32</v>
      </c>
      <c r="B1" t="s">
        <v>5</v>
      </c>
      <c r="C1" s="4" t="s">
        <v>33</v>
      </c>
      <c r="D1" t="s">
        <v>5</v>
      </c>
      <c r="E1" t="s">
        <v>21</v>
      </c>
      <c r="F1" t="s">
        <v>5</v>
      </c>
      <c r="G1" s="24" t="s">
        <v>10</v>
      </c>
      <c r="H1" s="25" t="s">
        <v>5</v>
      </c>
      <c r="I1" s="24" t="s">
        <v>34</v>
      </c>
      <c r="J1" s="25" t="s">
        <v>5</v>
      </c>
      <c r="K1" s="24" t="s">
        <v>35</v>
      </c>
      <c r="L1" s="25" t="s">
        <v>5</v>
      </c>
      <c r="M1" s="37" t="s">
        <v>36</v>
      </c>
      <c r="N1" s="38" t="s">
        <v>5</v>
      </c>
      <c r="O1" s="24" t="s">
        <v>2</v>
      </c>
      <c r="P1" s="25" t="s">
        <v>5</v>
      </c>
      <c r="Q1" s="24" t="s">
        <v>8</v>
      </c>
      <c r="R1" s="25" t="s">
        <v>5</v>
      </c>
      <c r="S1" s="26" t="s">
        <v>22</v>
      </c>
      <c r="T1" s="27" t="s">
        <v>5</v>
      </c>
      <c r="U1" s="24" t="s">
        <v>37</v>
      </c>
      <c r="V1" s="25" t="s">
        <v>5</v>
      </c>
      <c r="W1" s="24" t="s">
        <v>38</v>
      </c>
      <c r="X1" s="25" t="s">
        <v>5</v>
      </c>
      <c r="Y1" s="24" t="s">
        <v>17</v>
      </c>
      <c r="Z1" s="25" t="s">
        <v>5</v>
      </c>
      <c r="AA1" s="24" t="s">
        <v>39</v>
      </c>
      <c r="AB1" s="25" t="s">
        <v>5</v>
      </c>
      <c r="AC1" s="26" t="s">
        <v>40</v>
      </c>
      <c r="AD1" s="27" t="s">
        <v>5</v>
      </c>
      <c r="AE1" s="24" t="s">
        <v>4</v>
      </c>
      <c r="AF1" s="25" t="s">
        <v>5</v>
      </c>
      <c r="AG1" s="24" t="s">
        <v>23</v>
      </c>
      <c r="AH1" s="25" t="s">
        <v>5</v>
      </c>
      <c r="AI1" s="26" t="s">
        <v>41</v>
      </c>
      <c r="AJ1" s="27" t="s">
        <v>5</v>
      </c>
      <c r="AK1" s="24" t="s">
        <v>18</v>
      </c>
      <c r="AL1" s="25" t="s">
        <v>5</v>
      </c>
      <c r="AM1" s="24" t="s">
        <v>24</v>
      </c>
      <c r="AN1" s="25" t="s">
        <v>5</v>
      </c>
      <c r="AO1" s="26" t="s">
        <v>42</v>
      </c>
      <c r="AP1" s="27" t="s">
        <v>5</v>
      </c>
      <c r="AQ1" s="24" t="s">
        <v>43</v>
      </c>
      <c r="AR1" s="25" t="s">
        <v>5</v>
      </c>
      <c r="AS1" s="37" t="s">
        <v>44</v>
      </c>
      <c r="AT1" s="38" t="s">
        <v>5</v>
      </c>
      <c r="AU1" s="24" t="s">
        <v>25</v>
      </c>
      <c r="AV1" s="25" t="s">
        <v>5</v>
      </c>
      <c r="AW1" s="24" t="s">
        <v>45</v>
      </c>
      <c r="AX1" s="25" t="s">
        <v>5</v>
      </c>
      <c r="AY1" s="24" t="s">
        <v>7</v>
      </c>
      <c r="AZ1" s="25" t="s">
        <v>5</v>
      </c>
      <c r="BA1" s="24" t="s">
        <v>26</v>
      </c>
      <c r="BB1" s="25" t="s">
        <v>5</v>
      </c>
      <c r="BC1" s="24" t="s">
        <v>46</v>
      </c>
      <c r="BD1" s="25" t="s">
        <v>5</v>
      </c>
      <c r="BE1" s="24" t="s">
        <v>9</v>
      </c>
      <c r="BF1" s="25" t="s">
        <v>5</v>
      </c>
      <c r="BG1" s="24" t="s">
        <v>15</v>
      </c>
      <c r="BH1" s="25" t="s">
        <v>5</v>
      </c>
      <c r="BI1" s="24" t="s">
        <v>47</v>
      </c>
      <c r="BJ1" s="25" t="s">
        <v>5</v>
      </c>
      <c r="BK1" s="24" t="s">
        <v>48</v>
      </c>
      <c r="BL1" s="25" t="s">
        <v>5</v>
      </c>
      <c r="BM1" s="24" t="s">
        <v>3</v>
      </c>
      <c r="BN1" s="25" t="s">
        <v>5</v>
      </c>
      <c r="BO1" s="24" t="s">
        <v>49</v>
      </c>
      <c r="BP1" s="25" t="s">
        <v>5</v>
      </c>
      <c r="BQ1" s="24" t="s">
        <v>50</v>
      </c>
      <c r="BR1" s="25" t="s">
        <v>5</v>
      </c>
      <c r="BS1" s="24" t="s">
        <v>19</v>
      </c>
      <c r="BT1" s="25" t="s">
        <v>5</v>
      </c>
      <c r="BU1" s="24" t="s">
        <v>1</v>
      </c>
      <c r="BV1" s="25" t="s">
        <v>5</v>
      </c>
      <c r="BW1" s="26" t="s">
        <v>27</v>
      </c>
      <c r="BX1" s="27" t="s">
        <v>5</v>
      </c>
      <c r="BY1" s="24" t="s">
        <v>28</v>
      </c>
      <c r="BZ1" s="25" t="s">
        <v>5</v>
      </c>
      <c r="CA1" s="24" t="s">
        <v>0</v>
      </c>
      <c r="CB1" s="25" t="s">
        <v>5</v>
      </c>
      <c r="CC1" s="24" t="s">
        <v>51</v>
      </c>
      <c r="CD1" s="25" t="s">
        <v>5</v>
      </c>
    </row>
    <row r="2" spans="1:82" x14ac:dyDescent="0.2">
      <c r="A2" s="48" t="s">
        <v>52</v>
      </c>
      <c r="B2" s="19">
        <v>4</v>
      </c>
      <c r="C2" s="25" t="s">
        <v>53</v>
      </c>
      <c r="D2" s="19">
        <v>4</v>
      </c>
      <c r="E2" s="25"/>
      <c r="F2" s="22"/>
      <c r="G2" s="25" t="s">
        <v>52</v>
      </c>
      <c r="H2" s="25">
        <v>7</v>
      </c>
      <c r="I2" s="25" t="s">
        <v>52</v>
      </c>
      <c r="J2" s="25">
        <v>4</v>
      </c>
      <c r="K2" s="25" t="s">
        <v>52</v>
      </c>
      <c r="L2" s="25">
        <v>5</v>
      </c>
      <c r="M2" s="38" t="s">
        <v>52</v>
      </c>
      <c r="N2" s="38">
        <v>6</v>
      </c>
      <c r="O2" s="25" t="s">
        <v>53</v>
      </c>
      <c r="P2" s="25">
        <v>6</v>
      </c>
      <c r="Q2" s="25" t="s">
        <v>52</v>
      </c>
      <c r="R2" s="25">
        <v>6</v>
      </c>
      <c r="S2" s="27" t="s">
        <v>52</v>
      </c>
      <c r="T2" s="27">
        <v>6</v>
      </c>
      <c r="U2" s="25" t="s">
        <v>52</v>
      </c>
      <c r="V2" s="25">
        <v>7</v>
      </c>
      <c r="W2" s="25" t="s">
        <v>52</v>
      </c>
      <c r="X2" s="25">
        <v>5</v>
      </c>
      <c r="Y2" s="25" t="s">
        <v>52</v>
      </c>
      <c r="Z2" s="25">
        <v>6</v>
      </c>
      <c r="AA2" s="25" t="s">
        <v>52</v>
      </c>
      <c r="AB2" s="25">
        <v>5</v>
      </c>
      <c r="AC2" s="27" t="s">
        <v>52</v>
      </c>
      <c r="AD2" s="27">
        <v>4</v>
      </c>
      <c r="AE2" s="25" t="s">
        <v>52</v>
      </c>
      <c r="AF2" s="25">
        <v>6</v>
      </c>
      <c r="AG2" s="25" t="s">
        <v>52</v>
      </c>
      <c r="AH2" s="25">
        <v>6</v>
      </c>
      <c r="AI2" s="27" t="s">
        <v>52</v>
      </c>
      <c r="AJ2" s="27">
        <v>5</v>
      </c>
      <c r="AK2" s="25" t="s">
        <v>52</v>
      </c>
      <c r="AL2" s="25">
        <v>5</v>
      </c>
      <c r="AM2" s="25" t="s">
        <v>52</v>
      </c>
      <c r="AN2" s="25">
        <v>6</v>
      </c>
      <c r="AO2" s="27" t="s">
        <v>52</v>
      </c>
      <c r="AP2" s="27">
        <v>4</v>
      </c>
      <c r="AQ2" s="25" t="s">
        <v>53</v>
      </c>
      <c r="AR2" s="25">
        <v>6</v>
      </c>
      <c r="AS2" s="38" t="s">
        <v>52</v>
      </c>
      <c r="AT2" s="38">
        <v>5</v>
      </c>
      <c r="AU2" s="25" t="s">
        <v>52</v>
      </c>
      <c r="AV2" s="25">
        <v>6</v>
      </c>
      <c r="AW2" s="25" t="s">
        <v>52</v>
      </c>
      <c r="AX2" s="25">
        <v>6</v>
      </c>
      <c r="AY2" s="25" t="s">
        <v>53</v>
      </c>
      <c r="AZ2" s="25">
        <v>7</v>
      </c>
      <c r="BA2" s="25" t="s">
        <v>52</v>
      </c>
      <c r="BB2" s="25">
        <v>5</v>
      </c>
      <c r="BC2" s="25" t="s">
        <v>52</v>
      </c>
      <c r="BD2" s="25">
        <v>6</v>
      </c>
      <c r="BE2" s="25" t="s">
        <v>52</v>
      </c>
      <c r="BF2" s="25">
        <v>5</v>
      </c>
      <c r="BG2" s="25" t="s">
        <v>52</v>
      </c>
      <c r="BH2" s="25">
        <v>6</v>
      </c>
      <c r="BI2" s="25" t="s">
        <v>52</v>
      </c>
      <c r="BJ2" s="25">
        <v>5</v>
      </c>
      <c r="BK2" s="25" t="s">
        <v>52</v>
      </c>
      <c r="BL2" s="25">
        <v>5</v>
      </c>
      <c r="BM2" s="25" t="s">
        <v>52</v>
      </c>
      <c r="BN2" s="25">
        <v>6</v>
      </c>
      <c r="BO2" s="25" t="s">
        <v>52</v>
      </c>
      <c r="BP2" s="25">
        <v>5</v>
      </c>
      <c r="BQ2" s="25" t="s">
        <v>53</v>
      </c>
      <c r="BR2" s="25">
        <v>7</v>
      </c>
      <c r="BS2" s="25" t="s">
        <v>53</v>
      </c>
      <c r="BT2" s="25">
        <v>6</v>
      </c>
      <c r="BU2" s="25" t="s">
        <v>52</v>
      </c>
      <c r="BV2" s="25">
        <v>4</v>
      </c>
      <c r="BW2" s="27" t="s">
        <v>52</v>
      </c>
      <c r="BX2" s="27">
        <v>6</v>
      </c>
      <c r="BY2" s="25" t="s">
        <v>53</v>
      </c>
      <c r="BZ2" s="25">
        <v>7</v>
      </c>
      <c r="CA2" s="25" t="s">
        <v>52</v>
      </c>
      <c r="CB2" s="25">
        <v>6</v>
      </c>
      <c r="CC2" s="25" t="s">
        <v>52</v>
      </c>
      <c r="CD2" s="25">
        <v>4</v>
      </c>
    </row>
    <row r="3" spans="1:82" x14ac:dyDescent="0.2">
      <c r="A3" s="25" t="s">
        <v>29</v>
      </c>
      <c r="B3" s="19">
        <v>7</v>
      </c>
      <c r="C3" s="25" t="s">
        <v>30</v>
      </c>
      <c r="D3" s="19">
        <v>7</v>
      </c>
      <c r="E3" s="25" t="s">
        <v>29</v>
      </c>
      <c r="F3" s="21">
        <v>7</v>
      </c>
      <c r="G3" s="25" t="s">
        <v>29</v>
      </c>
      <c r="H3" s="25">
        <v>6</v>
      </c>
      <c r="I3" s="25" t="s">
        <v>29</v>
      </c>
      <c r="J3" s="25">
        <v>6</v>
      </c>
      <c r="K3" s="25" t="s">
        <v>29</v>
      </c>
      <c r="L3" s="25">
        <v>5</v>
      </c>
      <c r="M3" s="38" t="s">
        <v>29</v>
      </c>
      <c r="N3" s="38">
        <v>7</v>
      </c>
      <c r="O3" s="25" t="s">
        <v>30</v>
      </c>
      <c r="P3" s="25">
        <v>6</v>
      </c>
      <c r="Q3" s="25" t="s">
        <v>30</v>
      </c>
      <c r="R3" s="25">
        <v>7</v>
      </c>
      <c r="S3" s="27" t="s">
        <v>30</v>
      </c>
      <c r="T3" s="27">
        <v>6</v>
      </c>
      <c r="U3" s="25" t="s">
        <v>29</v>
      </c>
      <c r="V3" s="25">
        <v>7</v>
      </c>
      <c r="W3" s="25" t="s">
        <v>29</v>
      </c>
      <c r="X3" s="25">
        <v>7</v>
      </c>
      <c r="Y3" s="25" t="s">
        <v>30</v>
      </c>
      <c r="Z3" s="25">
        <v>7</v>
      </c>
      <c r="AA3" s="25" t="s">
        <v>29</v>
      </c>
      <c r="AB3" s="25">
        <v>6</v>
      </c>
      <c r="AC3" s="27" t="s">
        <v>29</v>
      </c>
      <c r="AD3" s="27">
        <v>6</v>
      </c>
      <c r="AE3" s="25" t="s">
        <v>30</v>
      </c>
      <c r="AF3" s="25">
        <v>6</v>
      </c>
      <c r="AG3" s="25" t="s">
        <v>30</v>
      </c>
      <c r="AH3" s="25">
        <v>7</v>
      </c>
      <c r="AI3" s="27" t="s">
        <v>29</v>
      </c>
      <c r="AJ3" s="27">
        <v>6</v>
      </c>
      <c r="AK3" s="25" t="s">
        <v>29</v>
      </c>
      <c r="AL3" s="25">
        <v>6</v>
      </c>
      <c r="AM3" s="25" t="s">
        <v>30</v>
      </c>
      <c r="AN3" s="25">
        <v>6</v>
      </c>
      <c r="AO3" s="27" t="s">
        <v>30</v>
      </c>
      <c r="AP3" s="27">
        <v>6</v>
      </c>
      <c r="AQ3" s="25" t="s">
        <v>29</v>
      </c>
      <c r="AR3" s="25">
        <v>7</v>
      </c>
      <c r="AS3" s="38" t="s">
        <v>30</v>
      </c>
      <c r="AT3" s="38">
        <v>7</v>
      </c>
      <c r="AU3" s="25" t="s">
        <v>29</v>
      </c>
      <c r="AV3" s="25">
        <v>7</v>
      </c>
      <c r="AW3" s="25" t="s">
        <v>29</v>
      </c>
      <c r="AX3" s="25">
        <v>6</v>
      </c>
      <c r="AY3" s="25" t="s">
        <v>29</v>
      </c>
      <c r="AZ3" s="25">
        <v>6</v>
      </c>
      <c r="BA3" s="25" t="s">
        <v>30</v>
      </c>
      <c r="BB3" s="25">
        <v>7</v>
      </c>
      <c r="BC3" s="25" t="s">
        <v>30</v>
      </c>
      <c r="BD3" s="25">
        <v>7</v>
      </c>
      <c r="BE3" s="25" t="s">
        <v>29</v>
      </c>
      <c r="BF3" s="25">
        <v>6</v>
      </c>
      <c r="BG3" s="25" t="s">
        <v>29</v>
      </c>
      <c r="BH3" s="25">
        <v>5</v>
      </c>
      <c r="BI3" s="25" t="s">
        <v>29</v>
      </c>
      <c r="BJ3" s="25">
        <v>6</v>
      </c>
      <c r="BK3" s="25" t="s">
        <v>29</v>
      </c>
      <c r="BL3" s="25">
        <v>6</v>
      </c>
      <c r="BM3" s="25" t="s">
        <v>30</v>
      </c>
      <c r="BN3" s="25">
        <v>7</v>
      </c>
      <c r="BO3" s="25" t="s">
        <v>30</v>
      </c>
      <c r="BP3" s="25">
        <v>7</v>
      </c>
      <c r="BQ3" s="25" t="s">
        <v>30</v>
      </c>
      <c r="BR3" s="25">
        <v>7</v>
      </c>
      <c r="BS3" s="25" t="s">
        <v>30</v>
      </c>
      <c r="BT3" s="25">
        <v>7</v>
      </c>
      <c r="BU3" s="25" t="s">
        <v>30</v>
      </c>
      <c r="BV3" s="25">
        <v>7</v>
      </c>
      <c r="BW3" s="27" t="s">
        <v>29</v>
      </c>
      <c r="BX3" s="27">
        <v>7</v>
      </c>
      <c r="BY3" s="25" t="s">
        <v>30</v>
      </c>
      <c r="BZ3" s="25">
        <v>6</v>
      </c>
      <c r="CA3" s="25" t="s">
        <v>30</v>
      </c>
      <c r="CB3" s="25">
        <v>6</v>
      </c>
      <c r="CC3" s="25" t="s">
        <v>29</v>
      </c>
      <c r="CD3" s="25">
        <v>6</v>
      </c>
    </row>
    <row r="4" spans="1:82" x14ac:dyDescent="0.2">
      <c r="A4" s="48" t="s">
        <v>13</v>
      </c>
      <c r="B4" s="19">
        <v>6</v>
      </c>
      <c r="C4" s="25" t="s">
        <v>31</v>
      </c>
      <c r="D4" s="19">
        <v>7</v>
      </c>
      <c r="E4" s="25" t="s">
        <v>13</v>
      </c>
      <c r="F4" s="21">
        <v>6</v>
      </c>
      <c r="G4" s="25" t="s">
        <v>31</v>
      </c>
      <c r="H4" s="25">
        <v>7</v>
      </c>
      <c r="I4" s="25" t="s">
        <v>13</v>
      </c>
      <c r="J4" s="25">
        <v>7</v>
      </c>
      <c r="K4" s="25" t="s">
        <v>13</v>
      </c>
      <c r="L4" s="25">
        <v>7</v>
      </c>
      <c r="M4" s="38" t="s">
        <v>13</v>
      </c>
      <c r="N4" s="38">
        <v>5</v>
      </c>
      <c r="O4" s="25" t="s">
        <v>13</v>
      </c>
      <c r="P4" s="25">
        <v>6</v>
      </c>
      <c r="Q4" s="25" t="s">
        <v>13</v>
      </c>
      <c r="R4" s="25">
        <v>7</v>
      </c>
      <c r="S4" s="27" t="s">
        <v>13</v>
      </c>
      <c r="T4" s="27">
        <v>6</v>
      </c>
      <c r="U4" s="25" t="s">
        <v>13</v>
      </c>
      <c r="V4" s="25">
        <v>6</v>
      </c>
      <c r="W4" s="25" t="s">
        <v>13</v>
      </c>
      <c r="X4" s="25">
        <v>5</v>
      </c>
      <c r="Y4" s="25" t="s">
        <v>13</v>
      </c>
      <c r="Z4" s="25">
        <v>6</v>
      </c>
      <c r="AA4" s="25" t="s">
        <v>31</v>
      </c>
      <c r="AB4" s="25">
        <v>7</v>
      </c>
      <c r="AC4" s="27" t="s">
        <v>13</v>
      </c>
      <c r="AD4" s="27">
        <v>6</v>
      </c>
      <c r="AE4" s="25" t="s">
        <v>13</v>
      </c>
      <c r="AF4" s="25">
        <v>5</v>
      </c>
      <c r="AG4" s="25" t="s">
        <v>31</v>
      </c>
      <c r="AH4" s="25">
        <v>7</v>
      </c>
      <c r="AI4" s="27" t="s">
        <v>13</v>
      </c>
      <c r="AJ4" s="27">
        <v>5</v>
      </c>
      <c r="AK4" s="25" t="s">
        <v>13</v>
      </c>
      <c r="AL4" s="25">
        <v>5</v>
      </c>
      <c r="AM4" s="25" t="s">
        <v>13</v>
      </c>
      <c r="AN4" s="25">
        <v>6</v>
      </c>
      <c r="AO4" s="27" t="s">
        <v>13</v>
      </c>
      <c r="AP4" s="27">
        <v>5</v>
      </c>
      <c r="AQ4" s="25" t="s">
        <v>31</v>
      </c>
      <c r="AR4" s="25">
        <v>6</v>
      </c>
      <c r="AS4" s="38" t="s">
        <v>13</v>
      </c>
      <c r="AT4" s="38">
        <v>5</v>
      </c>
      <c r="AU4" s="25" t="s">
        <v>13</v>
      </c>
      <c r="AV4" s="25">
        <v>5</v>
      </c>
      <c r="AW4" s="25" t="s">
        <v>31</v>
      </c>
      <c r="AX4" s="25">
        <v>7</v>
      </c>
      <c r="AY4" s="25" t="s">
        <v>31</v>
      </c>
      <c r="AZ4" s="25">
        <v>6</v>
      </c>
      <c r="BA4" s="25" t="s">
        <v>13</v>
      </c>
      <c r="BB4" s="25">
        <v>6</v>
      </c>
      <c r="BC4" s="25" t="s">
        <v>13</v>
      </c>
      <c r="BD4" s="25">
        <v>6</v>
      </c>
      <c r="BE4" s="25" t="s">
        <v>31</v>
      </c>
      <c r="BF4" s="25">
        <v>6</v>
      </c>
      <c r="BG4" s="25" t="s">
        <v>13</v>
      </c>
      <c r="BH4" s="25">
        <v>6</v>
      </c>
      <c r="BI4" s="25" t="s">
        <v>13</v>
      </c>
      <c r="BJ4" s="25">
        <v>6</v>
      </c>
      <c r="BK4" s="25" t="s">
        <v>13</v>
      </c>
      <c r="BL4" s="25">
        <v>5</v>
      </c>
      <c r="BM4" s="25" t="s">
        <v>13</v>
      </c>
      <c r="BN4" s="25">
        <v>6</v>
      </c>
      <c r="BO4" s="25" t="s">
        <v>31</v>
      </c>
      <c r="BP4" s="25">
        <v>7</v>
      </c>
      <c r="BQ4" s="25" t="s">
        <v>13</v>
      </c>
      <c r="BR4" s="25">
        <v>7</v>
      </c>
      <c r="BS4" s="25" t="s">
        <v>13</v>
      </c>
      <c r="BT4" s="25">
        <v>6</v>
      </c>
      <c r="BU4" s="25" t="s">
        <v>31</v>
      </c>
      <c r="BV4" s="25">
        <v>6</v>
      </c>
      <c r="BW4" s="27" t="s">
        <v>13</v>
      </c>
      <c r="BX4" s="27">
        <v>6</v>
      </c>
      <c r="BY4" s="25" t="s">
        <v>13</v>
      </c>
      <c r="BZ4" s="25">
        <v>6</v>
      </c>
      <c r="CA4" s="25" t="s">
        <v>13</v>
      </c>
      <c r="CB4" s="25">
        <v>6</v>
      </c>
      <c r="CC4" s="25" t="s">
        <v>13</v>
      </c>
      <c r="CD4" s="25">
        <v>5</v>
      </c>
    </row>
    <row r="5" spans="1:82" x14ac:dyDescent="0.2">
      <c r="A5" s="25" t="s">
        <v>12</v>
      </c>
      <c r="B5" s="19">
        <v>4</v>
      </c>
      <c r="C5" s="25" t="s">
        <v>54</v>
      </c>
      <c r="D5" s="19">
        <v>4</v>
      </c>
      <c r="E5" s="25" t="s">
        <v>12</v>
      </c>
      <c r="F5" s="21">
        <v>4</v>
      </c>
      <c r="G5" s="25" t="s">
        <v>12</v>
      </c>
      <c r="H5" s="25">
        <v>6</v>
      </c>
      <c r="I5" s="25" t="s">
        <v>12</v>
      </c>
      <c r="J5" s="25">
        <v>6</v>
      </c>
      <c r="K5" s="25" t="s">
        <v>12</v>
      </c>
      <c r="L5" s="25">
        <v>5</v>
      </c>
      <c r="M5" s="38" t="s">
        <v>12</v>
      </c>
      <c r="N5" s="38">
        <v>7</v>
      </c>
      <c r="O5" s="25" t="s">
        <v>12</v>
      </c>
      <c r="P5" s="25">
        <v>6</v>
      </c>
      <c r="Q5" s="25" t="s">
        <v>12</v>
      </c>
      <c r="R5" s="25">
        <v>5</v>
      </c>
      <c r="S5" s="27" t="s">
        <v>12</v>
      </c>
      <c r="T5" s="27">
        <v>6</v>
      </c>
      <c r="U5" s="25" t="s">
        <v>12</v>
      </c>
      <c r="V5" s="25">
        <v>5</v>
      </c>
      <c r="W5" s="25" t="s">
        <v>12</v>
      </c>
      <c r="X5" s="25">
        <v>7</v>
      </c>
      <c r="Y5" s="25" t="s">
        <v>12</v>
      </c>
      <c r="Z5" s="25">
        <v>6</v>
      </c>
      <c r="AA5" s="25" t="s">
        <v>12</v>
      </c>
      <c r="AB5" s="25">
        <v>6</v>
      </c>
      <c r="AC5" s="27" t="s">
        <v>12</v>
      </c>
      <c r="AD5" s="27">
        <v>7</v>
      </c>
      <c r="AE5" s="25" t="s">
        <v>12</v>
      </c>
      <c r="AF5" s="25">
        <v>6</v>
      </c>
      <c r="AG5" s="25" t="s">
        <v>12</v>
      </c>
      <c r="AH5" s="25">
        <v>5</v>
      </c>
      <c r="AI5" s="27" t="s">
        <v>12</v>
      </c>
      <c r="AJ5" s="27">
        <v>4</v>
      </c>
      <c r="AK5" s="25" t="s">
        <v>12</v>
      </c>
      <c r="AL5" s="25">
        <v>5</v>
      </c>
      <c r="AM5" s="25" t="s">
        <v>12</v>
      </c>
      <c r="AN5" s="25">
        <v>6</v>
      </c>
      <c r="AO5" s="27" t="s">
        <v>12</v>
      </c>
      <c r="AP5" s="27">
        <v>6</v>
      </c>
      <c r="AQ5" s="25" t="s">
        <v>12</v>
      </c>
      <c r="AR5" s="25">
        <v>6</v>
      </c>
      <c r="AS5" s="38" t="s">
        <v>12</v>
      </c>
      <c r="AT5" s="38">
        <v>6</v>
      </c>
      <c r="AU5" s="25" t="s">
        <v>12</v>
      </c>
      <c r="AV5" s="25">
        <v>6</v>
      </c>
      <c r="AW5" s="25" t="s">
        <v>12</v>
      </c>
      <c r="AX5" s="25">
        <v>5</v>
      </c>
      <c r="AY5" s="25" t="s">
        <v>12</v>
      </c>
      <c r="AZ5" s="25">
        <v>6</v>
      </c>
      <c r="BA5" s="25" t="s">
        <v>12</v>
      </c>
      <c r="BB5" s="25">
        <v>6</v>
      </c>
      <c r="BC5" s="25" t="s">
        <v>12</v>
      </c>
      <c r="BD5" s="25">
        <v>5</v>
      </c>
      <c r="BE5" s="25" t="s">
        <v>12</v>
      </c>
      <c r="BF5" s="25">
        <v>7</v>
      </c>
      <c r="BG5" s="25" t="s">
        <v>12</v>
      </c>
      <c r="BH5" s="25">
        <v>6</v>
      </c>
      <c r="BI5" s="25" t="s">
        <v>12</v>
      </c>
      <c r="BJ5" s="25">
        <v>5</v>
      </c>
      <c r="BK5" s="25" t="s">
        <v>12</v>
      </c>
      <c r="BL5" s="25">
        <v>5</v>
      </c>
      <c r="BM5" s="25" t="s">
        <v>54</v>
      </c>
      <c r="BN5" s="25">
        <v>7</v>
      </c>
      <c r="BO5" s="25" t="s">
        <v>54</v>
      </c>
      <c r="BP5" s="25">
        <v>6</v>
      </c>
      <c r="BQ5" s="25" t="s">
        <v>12</v>
      </c>
      <c r="BR5" s="25">
        <v>5</v>
      </c>
      <c r="BS5" s="25" t="s">
        <v>12</v>
      </c>
      <c r="BT5" s="25">
        <v>4</v>
      </c>
      <c r="BU5" s="25" t="s">
        <v>12</v>
      </c>
      <c r="BV5" s="25">
        <v>5</v>
      </c>
      <c r="BW5" s="27" t="s">
        <v>12</v>
      </c>
      <c r="BX5" s="27">
        <v>6</v>
      </c>
      <c r="BY5" s="25" t="s">
        <v>54</v>
      </c>
      <c r="BZ5" s="25">
        <v>6</v>
      </c>
      <c r="CA5" s="25" t="s">
        <v>12</v>
      </c>
      <c r="CB5" s="25">
        <v>5</v>
      </c>
      <c r="CC5" s="25" t="s">
        <v>12</v>
      </c>
      <c r="CD5" s="25">
        <v>6</v>
      </c>
    </row>
    <row r="6" spans="1:82" x14ac:dyDescent="0.2">
      <c r="A6" s="25" t="s">
        <v>20</v>
      </c>
      <c r="B6" s="19">
        <v>4</v>
      </c>
      <c r="C6" s="20" t="s">
        <v>58</v>
      </c>
      <c r="D6" s="19">
        <v>4</v>
      </c>
      <c r="E6" s="25" t="s">
        <v>20</v>
      </c>
      <c r="F6" s="21">
        <v>4</v>
      </c>
      <c r="G6" s="25" t="s">
        <v>20</v>
      </c>
      <c r="H6" s="25">
        <v>5</v>
      </c>
      <c r="I6" s="25" t="s">
        <v>20</v>
      </c>
      <c r="J6" s="25">
        <v>5</v>
      </c>
      <c r="K6" s="25" t="s">
        <v>20</v>
      </c>
      <c r="L6" s="25">
        <v>6</v>
      </c>
      <c r="M6" s="38" t="s">
        <v>20</v>
      </c>
      <c r="N6" s="38">
        <v>5</v>
      </c>
      <c r="O6" s="25" t="s">
        <v>20</v>
      </c>
      <c r="P6" s="25">
        <v>6</v>
      </c>
      <c r="Q6" s="25" t="s">
        <v>20</v>
      </c>
      <c r="R6" s="25">
        <v>4</v>
      </c>
      <c r="S6" s="27" t="s">
        <v>20</v>
      </c>
      <c r="T6" s="27">
        <v>6</v>
      </c>
      <c r="U6" s="25" t="s">
        <v>20</v>
      </c>
      <c r="V6" s="25">
        <v>5</v>
      </c>
      <c r="W6" s="25" t="s">
        <v>20</v>
      </c>
      <c r="X6" s="25">
        <v>5</v>
      </c>
      <c r="Y6" s="25" t="s">
        <v>20</v>
      </c>
      <c r="Z6" s="25">
        <v>5</v>
      </c>
      <c r="AA6" s="25" t="s">
        <v>20</v>
      </c>
      <c r="AB6" s="25">
        <v>4</v>
      </c>
      <c r="AC6" s="27" t="s">
        <v>20</v>
      </c>
      <c r="AD6" s="27">
        <v>5</v>
      </c>
      <c r="AE6" s="25" t="s">
        <v>20</v>
      </c>
      <c r="AF6" s="25">
        <v>5</v>
      </c>
      <c r="AG6" s="25" t="s">
        <v>20</v>
      </c>
      <c r="AH6" s="25">
        <v>5</v>
      </c>
      <c r="AI6" s="27" t="s">
        <v>20</v>
      </c>
      <c r="AJ6" s="27">
        <v>5</v>
      </c>
      <c r="AK6" s="25" t="s">
        <v>20</v>
      </c>
      <c r="AL6" s="25">
        <v>5</v>
      </c>
      <c r="AM6" s="25" t="s">
        <v>20</v>
      </c>
      <c r="AN6" s="25">
        <v>6</v>
      </c>
      <c r="AO6" s="27" t="s">
        <v>20</v>
      </c>
      <c r="AP6" s="27">
        <v>5</v>
      </c>
      <c r="AQ6" s="25" t="s">
        <v>20</v>
      </c>
      <c r="AR6" s="25">
        <v>5</v>
      </c>
      <c r="AS6" s="38" t="s">
        <v>20</v>
      </c>
      <c r="AT6" s="38">
        <v>5</v>
      </c>
      <c r="AU6" s="25" t="s">
        <v>20</v>
      </c>
      <c r="AV6" s="25">
        <v>5</v>
      </c>
      <c r="AW6" s="25" t="s">
        <v>20</v>
      </c>
      <c r="AX6" s="25">
        <v>5</v>
      </c>
      <c r="AY6" s="25" t="s">
        <v>20</v>
      </c>
      <c r="AZ6" s="25">
        <v>5</v>
      </c>
      <c r="BA6" s="25" t="s">
        <v>20</v>
      </c>
      <c r="BB6" s="25">
        <v>5</v>
      </c>
      <c r="BC6" s="25" t="s">
        <v>20</v>
      </c>
      <c r="BD6" s="25">
        <v>5</v>
      </c>
      <c r="BE6" s="25" t="s">
        <v>20</v>
      </c>
      <c r="BF6" s="25">
        <v>5</v>
      </c>
      <c r="BG6" s="25" t="s">
        <v>20</v>
      </c>
      <c r="BH6" s="25">
        <v>5</v>
      </c>
      <c r="BI6" s="25" t="s">
        <v>20</v>
      </c>
      <c r="BJ6" s="25">
        <v>6</v>
      </c>
      <c r="BK6" s="25" t="s">
        <v>20</v>
      </c>
      <c r="BL6" s="25">
        <v>5</v>
      </c>
      <c r="BM6" s="25" t="s">
        <v>20</v>
      </c>
      <c r="BN6" s="25">
        <v>5</v>
      </c>
      <c r="BO6" s="25" t="s">
        <v>20</v>
      </c>
      <c r="BP6" s="25">
        <v>5</v>
      </c>
      <c r="BQ6" s="25" t="s">
        <v>20</v>
      </c>
      <c r="BR6" s="25">
        <v>6</v>
      </c>
      <c r="BS6" s="25" t="s">
        <v>20</v>
      </c>
      <c r="BT6" s="25">
        <v>4</v>
      </c>
      <c r="BU6" s="25" t="s">
        <v>20</v>
      </c>
      <c r="BV6" s="25">
        <v>6</v>
      </c>
      <c r="BW6" s="27" t="s">
        <v>20</v>
      </c>
      <c r="BX6" s="27">
        <v>5</v>
      </c>
      <c r="BY6" s="25" t="s">
        <v>20</v>
      </c>
      <c r="BZ6" s="25">
        <v>5</v>
      </c>
      <c r="CA6" s="25" t="s">
        <v>20</v>
      </c>
      <c r="CB6" s="25">
        <v>6</v>
      </c>
      <c r="CC6" s="25" t="s">
        <v>20</v>
      </c>
      <c r="CD6" s="25">
        <v>5</v>
      </c>
    </row>
    <row r="7" spans="1:82" x14ac:dyDescent="0.2">
      <c r="A7" s="25" t="s">
        <v>55</v>
      </c>
      <c r="B7">
        <v>4</v>
      </c>
      <c r="C7" s="25" t="s">
        <v>16</v>
      </c>
      <c r="D7" s="19">
        <v>4</v>
      </c>
      <c r="E7" s="25"/>
      <c r="F7" s="21"/>
      <c r="G7" s="25" t="s">
        <v>16</v>
      </c>
      <c r="H7" s="25">
        <v>7</v>
      </c>
      <c r="I7" s="25" t="s">
        <v>16</v>
      </c>
      <c r="J7" s="25">
        <v>7</v>
      </c>
      <c r="K7" s="25" t="s">
        <v>55</v>
      </c>
      <c r="L7" s="25">
        <v>7</v>
      </c>
      <c r="M7" s="38" t="s">
        <v>16</v>
      </c>
      <c r="N7" s="38">
        <v>7</v>
      </c>
      <c r="O7" s="25" t="s">
        <v>55</v>
      </c>
      <c r="P7" s="25">
        <v>6</v>
      </c>
      <c r="Q7" s="25" t="s">
        <v>55</v>
      </c>
      <c r="R7" s="25">
        <v>6</v>
      </c>
      <c r="S7" s="27" t="s">
        <v>55</v>
      </c>
      <c r="T7" s="27">
        <v>6</v>
      </c>
      <c r="U7" s="25" t="s">
        <v>55</v>
      </c>
      <c r="V7" s="25">
        <v>4</v>
      </c>
      <c r="W7" s="25" t="s">
        <v>55</v>
      </c>
      <c r="X7" s="25">
        <v>7</v>
      </c>
      <c r="Y7" s="25" t="s">
        <v>16</v>
      </c>
      <c r="Z7" s="25">
        <v>7</v>
      </c>
      <c r="AA7" s="25" t="s">
        <v>55</v>
      </c>
      <c r="AB7" s="25">
        <v>5</v>
      </c>
      <c r="AC7" s="27" t="s">
        <v>55</v>
      </c>
      <c r="AD7" s="27">
        <v>6</v>
      </c>
      <c r="AE7" s="25" t="s">
        <v>55</v>
      </c>
      <c r="AF7" s="25">
        <v>7</v>
      </c>
      <c r="AG7" s="25" t="s">
        <v>55</v>
      </c>
      <c r="AH7" s="25">
        <v>6</v>
      </c>
      <c r="AI7" s="27" t="s">
        <v>55</v>
      </c>
      <c r="AJ7" s="27">
        <v>6</v>
      </c>
      <c r="AK7" s="25" t="s">
        <v>16</v>
      </c>
      <c r="AL7" s="25">
        <v>7</v>
      </c>
      <c r="AM7" s="25" t="s">
        <v>16</v>
      </c>
      <c r="AN7" s="25">
        <v>7</v>
      </c>
      <c r="AO7" s="27" t="s">
        <v>55</v>
      </c>
      <c r="AP7" s="27">
        <v>6</v>
      </c>
      <c r="AQ7" s="25" t="s">
        <v>55</v>
      </c>
      <c r="AR7" s="25">
        <v>4</v>
      </c>
      <c r="AS7" s="38" t="s">
        <v>55</v>
      </c>
      <c r="AT7" s="38">
        <v>6</v>
      </c>
      <c r="AU7" s="25" t="s">
        <v>55</v>
      </c>
      <c r="AV7" s="25">
        <v>5</v>
      </c>
      <c r="AW7" s="25" t="s">
        <v>55</v>
      </c>
      <c r="AX7" s="25">
        <v>6</v>
      </c>
      <c r="AY7" s="25" t="s">
        <v>55</v>
      </c>
      <c r="AZ7" s="25">
        <v>4</v>
      </c>
      <c r="BA7" s="25" t="s">
        <v>55</v>
      </c>
      <c r="BB7" s="25">
        <v>4</v>
      </c>
      <c r="BC7" s="25" t="s">
        <v>55</v>
      </c>
      <c r="BD7" s="25">
        <v>7</v>
      </c>
      <c r="BE7" s="25" t="s">
        <v>55</v>
      </c>
      <c r="BF7" s="25">
        <v>6</v>
      </c>
      <c r="BG7" s="25" t="s">
        <v>55</v>
      </c>
      <c r="BH7" s="25">
        <v>6</v>
      </c>
      <c r="BI7" s="25" t="s">
        <v>55</v>
      </c>
      <c r="BJ7" s="25">
        <v>7</v>
      </c>
      <c r="BK7" s="25" t="s">
        <v>55</v>
      </c>
      <c r="BL7" s="25">
        <v>6</v>
      </c>
      <c r="BM7" s="25" t="s">
        <v>55</v>
      </c>
      <c r="BN7" s="25">
        <v>6</v>
      </c>
      <c r="BO7" s="25" t="s">
        <v>16</v>
      </c>
      <c r="BP7" s="25">
        <v>6</v>
      </c>
      <c r="BQ7" s="25" t="s">
        <v>55</v>
      </c>
      <c r="BR7" s="25">
        <v>6</v>
      </c>
      <c r="BS7" s="25" t="s">
        <v>55</v>
      </c>
      <c r="BT7" s="25">
        <v>5</v>
      </c>
      <c r="BU7" s="25" t="s">
        <v>16</v>
      </c>
      <c r="BV7" s="25">
        <v>5</v>
      </c>
      <c r="BW7" s="27" t="s">
        <v>55</v>
      </c>
      <c r="BX7" s="27">
        <v>7</v>
      </c>
      <c r="BY7" s="25" t="s">
        <v>55</v>
      </c>
      <c r="BZ7" s="25">
        <v>6</v>
      </c>
      <c r="CA7" s="25" t="s">
        <v>16</v>
      </c>
      <c r="CB7" s="25">
        <v>6</v>
      </c>
      <c r="CC7" s="25" t="s">
        <v>16</v>
      </c>
      <c r="CD7" s="25">
        <v>7</v>
      </c>
    </row>
    <row r="8" spans="1:82" x14ac:dyDescent="0.2">
      <c r="A8" s="25" t="s">
        <v>56</v>
      </c>
      <c r="B8" s="19">
        <v>4</v>
      </c>
      <c r="C8" s="25" t="s">
        <v>57</v>
      </c>
      <c r="D8" s="19">
        <v>7</v>
      </c>
      <c r="E8" s="25" t="s">
        <v>56</v>
      </c>
      <c r="F8" s="21">
        <v>4</v>
      </c>
      <c r="G8" s="25" t="s">
        <v>56</v>
      </c>
      <c r="H8" s="25">
        <v>6</v>
      </c>
      <c r="I8" s="25" t="s">
        <v>56</v>
      </c>
      <c r="J8" s="25">
        <v>7</v>
      </c>
      <c r="K8" s="25" t="s">
        <v>57</v>
      </c>
      <c r="L8" s="25">
        <v>6</v>
      </c>
      <c r="M8" s="38" t="s">
        <v>56</v>
      </c>
      <c r="N8" s="38">
        <v>7</v>
      </c>
      <c r="O8" s="25" t="s">
        <v>57</v>
      </c>
      <c r="P8" s="25">
        <v>6</v>
      </c>
      <c r="Q8" s="25" t="s">
        <v>57</v>
      </c>
      <c r="R8" s="25">
        <v>6</v>
      </c>
      <c r="S8" s="27" t="s">
        <v>56</v>
      </c>
      <c r="T8" s="27">
        <v>6</v>
      </c>
      <c r="U8" s="25" t="s">
        <v>57</v>
      </c>
      <c r="V8" s="25">
        <v>7</v>
      </c>
      <c r="W8" s="25" t="s">
        <v>56</v>
      </c>
      <c r="X8" s="25">
        <v>4</v>
      </c>
      <c r="Y8" s="25" t="s">
        <v>56</v>
      </c>
      <c r="Z8" s="25">
        <v>6</v>
      </c>
      <c r="AA8" s="25" t="s">
        <v>56</v>
      </c>
      <c r="AB8" s="25">
        <v>6</v>
      </c>
      <c r="AC8" s="27" t="s">
        <v>56</v>
      </c>
      <c r="AD8" s="27">
        <v>6</v>
      </c>
      <c r="AE8" s="25" t="s">
        <v>56</v>
      </c>
      <c r="AF8" s="25">
        <v>6</v>
      </c>
      <c r="AG8" s="25" t="s">
        <v>56</v>
      </c>
      <c r="AH8" s="25">
        <v>6</v>
      </c>
      <c r="AI8" s="27" t="s">
        <v>56</v>
      </c>
      <c r="AJ8" s="27">
        <v>7</v>
      </c>
      <c r="AK8" s="25" t="s">
        <v>56</v>
      </c>
      <c r="AL8" s="25">
        <v>4</v>
      </c>
      <c r="AM8" s="25" t="s">
        <v>56</v>
      </c>
      <c r="AN8" s="25">
        <v>7</v>
      </c>
      <c r="AO8" s="27" t="s">
        <v>56</v>
      </c>
      <c r="AP8" s="27">
        <v>5</v>
      </c>
      <c r="AQ8" s="25" t="s">
        <v>57</v>
      </c>
      <c r="AR8" s="25">
        <v>7</v>
      </c>
      <c r="AS8" s="38" t="s">
        <v>57</v>
      </c>
      <c r="AT8" s="38">
        <v>7</v>
      </c>
      <c r="AU8" s="25" t="s">
        <v>56</v>
      </c>
      <c r="AV8" s="25">
        <v>7</v>
      </c>
      <c r="AW8" s="25" t="s">
        <v>56</v>
      </c>
      <c r="AX8" s="25">
        <v>6</v>
      </c>
      <c r="AY8" s="25" t="s">
        <v>57</v>
      </c>
      <c r="AZ8" s="25">
        <v>7</v>
      </c>
      <c r="BA8" s="25" t="s">
        <v>57</v>
      </c>
      <c r="BB8" s="25">
        <v>6</v>
      </c>
      <c r="BC8" s="25" t="s">
        <v>56</v>
      </c>
      <c r="BD8" s="25">
        <v>7</v>
      </c>
      <c r="BE8" s="25" t="s">
        <v>57</v>
      </c>
      <c r="BF8" s="25">
        <v>6</v>
      </c>
      <c r="BG8" s="25" t="s">
        <v>57</v>
      </c>
      <c r="BH8" s="25">
        <v>7</v>
      </c>
      <c r="BI8" s="25" t="s">
        <v>56</v>
      </c>
      <c r="BJ8" s="25">
        <v>5</v>
      </c>
      <c r="BK8" s="25" t="s">
        <v>56</v>
      </c>
      <c r="BL8" s="25">
        <v>6</v>
      </c>
      <c r="BM8" s="25" t="s">
        <v>57</v>
      </c>
      <c r="BN8" s="25">
        <v>7</v>
      </c>
      <c r="BO8" s="25" t="s">
        <v>56</v>
      </c>
      <c r="BP8" s="25">
        <v>7</v>
      </c>
      <c r="BQ8" s="25" t="s">
        <v>56</v>
      </c>
      <c r="BR8" s="25">
        <v>6</v>
      </c>
      <c r="BS8" s="25" t="s">
        <v>56</v>
      </c>
      <c r="BT8" s="25">
        <v>5</v>
      </c>
      <c r="BU8" s="25" t="s">
        <v>56</v>
      </c>
      <c r="BV8" s="25">
        <v>6</v>
      </c>
      <c r="BW8" s="27" t="s">
        <v>56</v>
      </c>
      <c r="BX8" s="27">
        <v>6</v>
      </c>
      <c r="BY8" s="25" t="s">
        <v>56</v>
      </c>
      <c r="BZ8" s="25">
        <v>7</v>
      </c>
      <c r="CA8" s="25" t="s">
        <v>57</v>
      </c>
      <c r="CB8" s="25">
        <v>6</v>
      </c>
      <c r="CC8" s="25" t="s">
        <v>57</v>
      </c>
      <c r="CD8" s="25">
        <v>7</v>
      </c>
    </row>
    <row r="9" spans="1:82" x14ac:dyDescent="0.2">
      <c r="A9" s="25" t="s">
        <v>11</v>
      </c>
      <c r="B9" s="19">
        <v>7</v>
      </c>
      <c r="C9" s="25" t="s">
        <v>14</v>
      </c>
      <c r="D9" s="19">
        <v>4</v>
      </c>
      <c r="E9" s="25" t="s">
        <v>14</v>
      </c>
      <c r="F9" s="21">
        <v>4</v>
      </c>
      <c r="G9" s="25" t="s">
        <v>14</v>
      </c>
      <c r="H9" s="25">
        <v>7</v>
      </c>
      <c r="I9" s="25" t="s">
        <v>14</v>
      </c>
      <c r="J9" s="25">
        <v>5</v>
      </c>
      <c r="K9" s="25" t="s">
        <v>14</v>
      </c>
      <c r="L9" s="25">
        <v>7</v>
      </c>
      <c r="M9" s="38" t="s">
        <v>14</v>
      </c>
      <c r="N9" s="38">
        <v>6</v>
      </c>
      <c r="O9" s="25" t="s">
        <v>14</v>
      </c>
      <c r="P9" s="25">
        <v>6</v>
      </c>
      <c r="Q9" s="25" t="s">
        <v>14</v>
      </c>
      <c r="R9" s="25">
        <v>7</v>
      </c>
      <c r="S9" s="27" t="s">
        <v>11</v>
      </c>
      <c r="T9" s="27">
        <v>6</v>
      </c>
      <c r="U9" s="25" t="s">
        <v>14</v>
      </c>
      <c r="V9" s="25">
        <v>7</v>
      </c>
      <c r="W9" s="25" t="s">
        <v>14</v>
      </c>
      <c r="X9" s="25">
        <v>7</v>
      </c>
      <c r="Y9" s="25" t="s">
        <v>14</v>
      </c>
      <c r="Z9" s="25">
        <v>6</v>
      </c>
      <c r="AA9" s="25" t="s">
        <v>11</v>
      </c>
      <c r="AB9" s="25">
        <v>7</v>
      </c>
      <c r="AC9" s="27" t="s">
        <v>14</v>
      </c>
      <c r="AD9" s="27">
        <v>7</v>
      </c>
      <c r="AE9" s="25" t="s">
        <v>11</v>
      </c>
      <c r="AF9" s="25">
        <v>6</v>
      </c>
      <c r="AG9" s="25" t="s">
        <v>14</v>
      </c>
      <c r="AH9" s="25">
        <v>6</v>
      </c>
      <c r="AI9" s="27" t="s">
        <v>11</v>
      </c>
      <c r="AJ9" s="27">
        <v>5</v>
      </c>
      <c r="AK9" s="25" t="s">
        <v>14</v>
      </c>
      <c r="AL9" s="25">
        <v>6</v>
      </c>
      <c r="AM9" s="25" t="s">
        <v>14</v>
      </c>
      <c r="AN9" s="25">
        <v>7</v>
      </c>
      <c r="AO9" s="27" t="s">
        <v>11</v>
      </c>
      <c r="AP9" s="27">
        <v>5</v>
      </c>
      <c r="AQ9" s="25" t="s">
        <v>14</v>
      </c>
      <c r="AR9" s="25">
        <v>5</v>
      </c>
      <c r="AS9" s="38" t="s">
        <v>14</v>
      </c>
      <c r="AT9" s="38">
        <v>6</v>
      </c>
      <c r="AU9" s="25" t="s">
        <v>14</v>
      </c>
      <c r="AV9" s="25">
        <v>7</v>
      </c>
      <c r="AW9" s="25" t="s">
        <v>14</v>
      </c>
      <c r="AX9" s="25">
        <v>6</v>
      </c>
      <c r="AY9" s="25" t="s">
        <v>14</v>
      </c>
      <c r="AZ9" s="25">
        <v>7</v>
      </c>
      <c r="BA9" s="25" t="s">
        <v>14</v>
      </c>
      <c r="BB9" s="25">
        <v>5</v>
      </c>
      <c r="BC9" s="25" t="s">
        <v>14</v>
      </c>
      <c r="BD9" s="25">
        <v>6</v>
      </c>
      <c r="BE9" s="25" t="s">
        <v>14</v>
      </c>
      <c r="BF9" s="25">
        <v>7</v>
      </c>
      <c r="BG9" s="25" t="s">
        <v>11</v>
      </c>
      <c r="BH9" s="25">
        <v>7</v>
      </c>
      <c r="BI9" s="25" t="s">
        <v>11</v>
      </c>
      <c r="BJ9" s="25">
        <v>6</v>
      </c>
      <c r="BK9" s="25" t="s">
        <v>11</v>
      </c>
      <c r="BL9" s="25">
        <v>6</v>
      </c>
      <c r="BM9" s="25" t="s">
        <v>14</v>
      </c>
      <c r="BN9" s="25">
        <v>7</v>
      </c>
      <c r="BO9" s="25" t="s">
        <v>14</v>
      </c>
      <c r="BP9" s="25">
        <v>7</v>
      </c>
      <c r="BQ9" s="25" t="s">
        <v>14</v>
      </c>
      <c r="BR9" s="25">
        <v>6</v>
      </c>
      <c r="BS9" s="25" t="s">
        <v>11</v>
      </c>
      <c r="BT9" s="25">
        <v>7</v>
      </c>
      <c r="BU9" s="25" t="s">
        <v>14</v>
      </c>
      <c r="BV9" s="25">
        <v>5</v>
      </c>
      <c r="BW9" s="27" t="s">
        <v>14</v>
      </c>
      <c r="BX9" s="27">
        <v>7</v>
      </c>
      <c r="BY9" s="25" t="s">
        <v>11</v>
      </c>
      <c r="BZ9" s="25">
        <v>6</v>
      </c>
      <c r="CA9" s="25" t="s">
        <v>14</v>
      </c>
      <c r="CB9" s="25">
        <v>6</v>
      </c>
      <c r="CC9" s="25" t="s">
        <v>14</v>
      </c>
      <c r="CD9" s="25">
        <v>5</v>
      </c>
    </row>
    <row r="10" spans="1:82" s="7" customFormat="1" x14ac:dyDescent="0.2">
      <c r="C10"/>
      <c r="E10" s="17"/>
      <c r="F10" s="17"/>
      <c r="G10" s="10"/>
      <c r="H10" s="13">
        <f>IF(G2=$E2,2,0)+IF(G2=$E2,IF(H2=$F2,1,0),0)
+IF(G3=$E3,2,0)+IF(G3=$E3,IF(H3=$F3,1,0),0)
+IF(G4=$E4,2,0)+IF(G4=$E4,IF(H4=$F4,1,0),0)
+IF(G5=$E5,2,0)+IF(G5=$E5,IF(H5=$F5,1,0),0)
+IF(G6=$E6,2,0)+IF(G6=$E6,IF(H6=$F6,1,0),0)
+IF(G7=$E7,2,0)+IF(G7=$E7,IF(H7=$F7,1,0),0)
+IF(G8=$E8,2,0)+IF(G8=$E8,IF(H8=$F8,1,0),0)
+IF(G9=$E9,2,0)+IF(G9=$E9,IF(H9=$F9,1,0),0)</f>
        <v>10</v>
      </c>
      <c r="I10" s="13"/>
      <c r="J10" s="13">
        <f>IF(I2=$E2,2,0)+IF(I2=$E2,IF(J2=$F2,1,0),0)
+IF(I3=$E3,2,0)+IF(I3=$E3,IF(J3=$F3,1,0),0)
+IF(I4=$E4,2,0)+IF(I4=$E4,IF(J4=$F4,1,0),0)
+IF(I5=$E5,2,0)+IF(I5=$E5,IF(J5=$F5,1,0),0)
+IF(I6=$E6,2,0)+IF(I6=$E6,IF(J6=$F6,1,0),0)
+IF(I7=$E7,2,0)+IF(I7=$E7,IF(J7=$F7,1,0),0)
+IF(I8=$E8,2,0)+IF(I8=$E8,IF(J8=$F8,1,0),0)
+IF(I9=$E9,2,0)+IF(I9=$E9,IF(J9=$F9,1,0),0)</f>
        <v>12</v>
      </c>
      <c r="K10" s="13"/>
      <c r="L10" s="13">
        <f>IF(K2=$E2,2,0)+IF(K2=$E2,IF(L2=$F2,1,0),0)
+IF(K3=$E3,2,0)+IF(K3=$E3,IF(L3=$F3,1,0),0)
+IF(K4=$E4,2,0)+IF(K4=$E4,IF(L4=$F4,1,0),0)
+IF(K5=$E5,2,0)+IF(K5=$E5,IF(L5=$F5,1,0),0)
+IF(K6=$E6,2,0)+IF(K6=$E6,IF(L6=$F6,1,0),0)
+IF(K7=$E7,2,0)+IF(K7=$E7,IF(L7=$F7,1,0),0)
+IF(K8=$E8,2,0)+IF(K8=$E8,IF(L8=$F8,1,0),0)
+IF(K9=$E9,2,0)+IF(K9=$E9,IF(L9=$F9,1,0),0)</f>
        <v>10</v>
      </c>
      <c r="M10" s="39"/>
      <c r="N10" s="39">
        <f>IF(M2=$E2,2,0)+IF(M2=$E2,IF(N2=$F2,1,0),0)
+IF(M3=$E3,2,0)+IF(M3=$E3,IF(N3=$F3,1,0),0)
+IF(M4=$E4,2,0)+IF(M4=$E4,IF(N4=$F4,1,0),0)
+IF(M5=$E5,2,0)+IF(M5=$E5,IF(N5=$F5,1,0),0)
+IF(M6=$E6,2,0)+IF(M6=$E6,IF(N6=$F6,1,0),0)
+IF(M7=$E7,2,0)+IF(M7=$E7,IF(N7=$F7,1,0),0)
+IF(M8=$E8,2,0)+IF(M8=$E8,IF(N8=$F8,1,0),0)
+IF(M9=$E9,2,0)+IF(M9=$E9,IF(N9=$F9,1,0),0)</f>
        <v>13</v>
      </c>
      <c r="O10" s="13"/>
      <c r="P10" s="13">
        <f>IF(O2=$E2,2,0)+IF(O2=$E2,IF(P2=$F2,1,0),0)
+IF(O3=$E3,2,0)+IF(O3=$E3,IF(P3=$F3,1,0),0)
+IF(O4=$E4,2,0)+IF(O4=$E4,IF(P4=$F4,1,0),0)
+IF(O5=$E5,2,0)+IF(O5=$E5,IF(P5=$F5,1,0),0)
+IF(O6=$E6,2,0)+IF(O6=$E6,IF(P6=$F6,1,0),0)
+IF(O7=$E7,2,0)+IF(O7=$E7,IF(P7=$F7,1,0),0)
+IF(O8=$E8,2,0)+IF(O8=$E8,IF(P8=$F8,1,0),0)
+IF(O9=$E9,2,0)+IF(O9=$E9,IF(P9=$F9,1,0),0)</f>
        <v>9</v>
      </c>
      <c r="Q10" s="13"/>
      <c r="R10" s="13">
        <f>IF(Q2=$E2,2,0)+IF(Q2=$E2,IF(R2=$F2,1,0),0)
+IF(Q3=$E3,2,0)+IF(Q3=$E3,IF(R3=$F3,1,0),0)
+IF(Q4=$E4,2,0)+IF(Q4=$E4,IF(R4=$F4,1,0),0)
+IF(Q5=$E5,2,0)+IF(Q5=$E5,IF(R5=$F5,1,0),0)
+IF(Q6=$E6,2,0)+IF(Q6=$E6,IF(R6=$F6,1,0),0)
+IF(Q7=$E7,2,0)+IF(Q7=$E7,IF(R7=$F7,1,0),0)
+IF(Q8=$E8,2,0)+IF(Q8=$E8,IF(R8=$F8,1,0),0)
+IF(Q9=$E9,2,0)+IF(Q9=$E9,IF(R9=$F9,1,0),0)</f>
        <v>9</v>
      </c>
      <c r="S10" s="28"/>
      <c r="T10" s="28">
        <f>IF(S2=$E2,2,0)+IF(S2=$E2,IF(T2=$F2,1,0),0)
+IF(S3=$E3,2,0)+IF(S3=$E3,IF(T3=$F3,1,0),0)
+IF(S4=$E4,2,0)+IF(S4=$E4,IF(T4=$F4,1,0),0)
+IF(S5=$E5,2,0)+IF(S5=$E5,IF(T5=$F5,1,0),0)
+IF(S6=$E6,2,0)+IF(S6=$E6,IF(T6=$F6,1,0),0)
+IF(S7=$E7,2,0)+IF(S7=$E7,IF(T7=$F7,1,0),0)
+IF(S8=$E8,2,0)+IF(S8=$E8,IF(T8=$F8,1,0),0)
+IF(S9=$E9,2,0)+IF(S9=$E9,IF(T9=$F9,1,0),0)</f>
        <v>9</v>
      </c>
      <c r="U10" s="13"/>
      <c r="V10" s="13">
        <f>IF(U2=$E2,2,0)+IF(U2=$E2,IF(V2=$F2,1,0),0)
+IF(U3=$E3,2,0)+IF(U3=$E3,IF(V3=$F3,1,0),0)
+IF(U4=$E4,2,0)+IF(U4=$E4,IF(V4=$F4,1,0),0)
+IF(U5=$E5,2,0)+IF(U5=$E5,IF(V5=$F5,1,0),0)
+IF(U6=$E6,2,0)+IF(U6=$E6,IF(V6=$F6,1,0),0)
+IF(U7=$E7,2,0)+IF(U7=$E7,IF(V7=$F7,1,0),0)
+IF(U8=$E8,2,0)+IF(U8=$E8,IF(V8=$F8,1,0),0)
+IF(U9=$E9,2,0)+IF(U9=$E9,IF(V9=$F9,1,0),0)</f>
        <v>12</v>
      </c>
      <c r="W10" s="13"/>
      <c r="X10" s="13">
        <f>IF(W2=$E2,2,0)+IF(W2=$E2,IF(X2=$F2,1,0),0)
+IF(W3=$E3,2,0)+IF(W3=$E3,IF(X3=$F3,1,0),0)
+IF(W4=$E4,2,0)+IF(W4=$E4,IF(X4=$F4,1,0),0)
+IF(W5=$E5,2,0)+IF(W5=$E5,IF(X5=$F5,1,0),0)
+IF(W6=$E6,2,0)+IF(W6=$E6,IF(X6=$F6,1,0),0)
+IF(W7=$E7,2,0)+IF(W7=$E7,IF(X7=$F7,1,0),0)
+IF(W8=$E8,2,0)+IF(W8=$E8,IF(X8=$F8,1,0),0)
+IF(W9=$E9,2,0)+IF(W9=$E9,IF(X9=$F9,1,0),0)</f>
        <v>14</v>
      </c>
      <c r="Y10" s="13"/>
      <c r="Z10" s="13">
        <f>IF(Y2=$E2,2,0)+IF(Y2=$E2,IF(Z2=$F2,1,0),0)
+IF(Y3=$E3,2,0)+IF(Y3=$E3,IF(Z3=$F3,1,0),0)
+IF(Y4=$E4,2,0)+IF(Y4=$E4,IF(Z4=$F4,1,0),0)
+IF(Y5=$E5,2,0)+IF(Y5=$E5,IF(Z5=$F5,1,0),0)
+IF(Y6=$E6,2,0)+IF(Y6=$E6,IF(Z6=$F6,1,0),0)
+IF(Y7=$E7,2,0)+IF(Y7=$E7,IF(Z7=$F7,1,0),0)
+IF(Y8=$E8,2,0)+IF(Y8=$E8,IF(Z8=$F8,1,0),0)
+IF(Y9=$E9,2,0)+IF(Y9=$E9,IF(Z9=$F9,1,0),0)</f>
        <v>11</v>
      </c>
      <c r="AA10" s="13"/>
      <c r="AB10" s="13">
        <f>IF(AA2=$E2,2,0)+IF(AA2=$E2,IF(AB2=$F2,1,0),0)
+IF(AA3=$E3,2,0)+IF(AA3=$E3,IF(AB3=$F3,1,0),0)
+IF(AA4=$E4,2,0)+IF(AA4=$E4,IF(AB4=$F4,1,0),0)
+IF(AA5=$E5,2,0)+IF(AA5=$E5,IF(AB5=$F5,1,0),0)
+IF(AA6=$E6,2,0)+IF(AA6=$E6,IF(AB6=$F6,1,0),0)
+IF(AA7=$E7,2,0)+IF(AA7=$E7,IF(AB7=$F7,1,0),0)
+IF(AA8=$E8,2,0)+IF(AA8=$E8,IF(AB8=$F8,1,0),0)
+IF(AA9=$E9,2,0)+IF(AA9=$E9,IF(AB9=$F9,1,0),0)</f>
        <v>9</v>
      </c>
      <c r="AC10" s="28"/>
      <c r="AD10" s="28">
        <f>IF(AC2=$E2,2,0)+IF(AC2=$E2,IF(AD2=$F2,1,0),0)
+IF(AC3=$E3,2,0)+IF(AC3=$E3,IF(AD3=$F3,1,0),0)
+IF(AC4=$E4,2,0)+IF(AC4=$E4,IF(AD4=$F4,1,0),0)
+IF(AC5=$E5,2,0)+IF(AC5=$E5,IF(AD5=$F5,1,0),0)
+IF(AC6=$E6,2,0)+IF(AC6=$E6,IF(AD6=$F6,1,0),0)
+IF(AC7=$E7,2,0)+IF(AC7=$E7,IF(AD7=$F7,1,0),0)
+IF(AC8=$E8,2,0)+IF(AC8=$E8,IF(AD8=$F8,1,0),0)
+IF(AC9=$E9,2,0)+IF(AC9=$E9,IF(AD9=$F9,1,0),0)</f>
        <v>13</v>
      </c>
      <c r="AE10" s="13"/>
      <c r="AF10" s="13">
        <f>IF(AE2=$E2,2,0)+IF(AE2=$E2,IF(AF2=$F2,1,0),0)
+IF(AE3=$E3,2,0)+IF(AE3=$E3,IF(AF3=$F3,1,0),0)
+IF(AE4=$E4,2,0)+IF(AE4=$E4,IF(AF4=$F4,1,0),0)
+IF(AE5=$E5,2,0)+IF(AE5=$E5,IF(AF5=$F5,1,0),0)
+IF(AE6=$E6,2,0)+IF(AE6=$E6,IF(AF6=$F6,1,0),0)
+IF(AE7=$E7,2,0)+IF(AE7=$E7,IF(AF7=$F7,1,0),0)
+IF(AE8=$E8,2,0)+IF(AE8=$E8,IF(AF8=$F8,1,0),0)
+IF(AE9=$E9,2,0)+IF(AE9=$E9,IF(AF9=$F9,1,0),0)</f>
        <v>8</v>
      </c>
      <c r="AG10" s="13"/>
      <c r="AH10" s="13">
        <f>IF(AG2=$E2,2,0)+IF(AG2=$E2,IF(AH2=$F2,1,0),0)
+IF(AG3=$E3,2,0)+IF(AG3=$E3,IF(AH3=$F3,1,0),0)
+IF(AG4=$E4,2,0)+IF(AG4=$E4,IF(AH4=$F4,1,0),0)
+IF(AG5=$E5,2,0)+IF(AG5=$E5,IF(AH5=$F5,1,0),0)
+IF(AG6=$E6,2,0)+IF(AG6=$E6,IF(AH6=$F6,1,0),0)
+IF(AG7=$E7,2,0)+IF(AG7=$E7,IF(AH7=$F7,1,0),0)
+IF(AG8=$E8,2,0)+IF(AG8=$E8,IF(AH8=$F8,1,0),0)
+IF(AG9=$E9,2,0)+IF(AG9=$E9,IF(AH9=$F9,1,0),0)</f>
        <v>8</v>
      </c>
      <c r="AI10" s="28"/>
      <c r="AJ10" s="28">
        <f>IF(AI2=$E2,2,0)+IF(AI2=$E2,IF(AJ2=$F2,1,0),0)
+IF(AI3=$E3,2,0)+IF(AI3=$E3,IF(AJ3=$F3,1,0),0)
+IF(AI4=$E4,2,0)+IF(AI4=$E4,IF(AJ4=$F4,1,0),0)
+IF(AI5=$E5,2,0)+IF(AI5=$E5,IF(AJ5=$F5,1,0),0)
+IF(AI6=$E6,2,0)+IF(AI6=$E6,IF(AJ6=$F6,1,0),0)
+IF(AI7=$E7,2,0)+IF(AI7=$E7,IF(AJ7=$F7,1,0),0)
+IF(AI8=$E8,2,0)+IF(AI8=$E8,IF(AJ8=$F8,1,0),0)
+IF(AI9=$E9,2,0)+IF(AI9=$E9,IF(AJ9=$F9,1,0),0)</f>
        <v>11</v>
      </c>
      <c r="AK10" s="13"/>
      <c r="AL10" s="13">
        <f>IF(AK2=$E2,2,0)+IF(AK2=$E2,IF(AL2=$F2,1,0),0)
+IF(AK3=$E3,2,0)+IF(AK3=$E3,IF(AL3=$F3,1,0),0)
+IF(AK4=$E4,2,0)+IF(AK4=$E4,IF(AL4=$F4,1,0),0)
+IF(AK5=$E5,2,0)+IF(AK5=$E5,IF(AL5=$F5,1,0),0)
+IF(AK6=$E6,2,0)+IF(AK6=$E6,IF(AL6=$F6,1,0),0)
+IF(AK7=$E7,2,0)+IF(AK7=$E7,IF(AL7=$F7,1,0),0)
+IF(AK8=$E8,2,0)+IF(AK8=$E8,IF(AL8=$F8,1,0),0)
+IF(AK9=$E9,2,0)+IF(AK9=$E9,IF(AL9=$F9,1,0),0)</f>
        <v>13</v>
      </c>
      <c r="AM10" s="13"/>
      <c r="AN10" s="13">
        <f>IF(AM2=$E2,2,0)+IF(AM2=$E2,IF(AN2=$F2,1,0),0)
+IF(AM3=$E3,2,0)+IF(AM3=$E3,IF(AN3=$F3,1,0),0)
+IF(AM4=$E4,2,0)+IF(AM4=$E4,IF(AN4=$F4,1,0),0)
+IF(AM5=$E5,2,0)+IF(AM5=$E5,IF(AN5=$F5,1,0),0)
+IF(AM6=$E6,2,0)+IF(AM6=$E6,IF(AN6=$F6,1,0),0)
+IF(AM7=$E7,2,0)+IF(AM7=$E7,IF(AN7=$F7,1,0),0)
+IF(AM8=$E8,2,0)+IF(AM8=$E8,IF(AN8=$F8,1,0),0)
+IF(AM9=$E9,2,0)+IF(AM9=$E9,IF(AN9=$F9,1,0),0)</f>
        <v>11</v>
      </c>
      <c r="AO10" s="28"/>
      <c r="AP10" s="28">
        <f>IF(AO2=$E2,2,0)+IF(AO2=$E2,IF(AP2=$F2,1,0),0)
+IF(AO3=$E3,2,0)+IF(AO3=$E3,IF(AP3=$F3,1,0),0)
+IF(AO4=$E4,2,0)+IF(AO4=$E4,IF(AP4=$F4,1,0),0)
+IF(AO5=$E5,2,0)+IF(AO5=$E5,IF(AP5=$F5,1,0),0)
+IF(AO6=$E6,2,0)+IF(AO6=$E6,IF(AP6=$F6,1,0),0)
+IF(AO7=$E7,2,0)+IF(AO7=$E7,IF(AP7=$F7,1,0),0)
+IF(AO8=$E8,2,0)+IF(AO8=$E8,IF(AP8=$F8,1,0),0)
+IF(AO9=$E9,2,0)+IF(AO9=$E9,IF(AP9=$F9,1,0),0)</f>
        <v>8</v>
      </c>
      <c r="AQ10" s="13"/>
      <c r="AR10" s="13">
        <f>IF(AQ2=$E2,2,0)+IF(AQ2=$E2,IF(AR2=$F2,1,0),0)
+IF(AQ3=$E3,2,0)+IF(AQ3=$E3,IF(AR3=$F3,1,0),0)
+IF(AQ4=$E4,2,0)+IF(AQ4=$E4,IF(AR4=$F4,1,0),0)
+IF(AQ5=$E5,2,0)+IF(AQ5=$E5,IF(AR5=$F5,1,0),0)
+IF(AQ6=$E6,2,0)+IF(AQ6=$E6,IF(AR6=$F6,1,0),0)
+IF(AQ7=$E7,2,0)+IF(AQ7=$E7,IF(AR7=$F7,1,0),0)
+IF(AQ8=$E8,2,0)+IF(AQ8=$E8,IF(AR8=$F8,1,0),0)
+IF(AQ9=$E9,2,0)+IF(AQ9=$E9,IF(AR9=$F9,1,0),0)</f>
        <v>9</v>
      </c>
      <c r="AS10" s="39"/>
      <c r="AT10" s="39">
        <f>IF(AS2=$E2,2,0)+IF(AS2=$E2,IF(AT2=$F2,1,0),0)
+IF(AS3=$E3,2,0)+IF(AS3=$E3,IF(AT3=$F3,1,0),0)
+IF(AS4=$E4,2,0)+IF(AS4=$E4,IF(AT4=$F4,1,0),0)
+IF(AS5=$E5,2,0)+IF(AS5=$E5,IF(AT5=$F5,1,0),0)
+IF(AS6=$E6,2,0)+IF(AS6=$E6,IF(AT6=$F6,1,0),0)
+IF(AS7=$E7,2,0)+IF(AS7=$E7,IF(AT7=$F7,1,0),0)
+IF(AS8=$E8,2,0)+IF(AS8=$E8,IF(AT8=$F8,1,0),0)
+IF(AS9=$E9,2,0)+IF(AS9=$E9,IF(AT9=$F9,1,0),0)</f>
        <v>8</v>
      </c>
      <c r="AU10" s="13"/>
      <c r="AV10" s="13">
        <f t="shared" ref="AV10:BR10" si="0">IF(AU2=$E2,2,0)+IF(AU2=$E2,IF(AV2=$F2,1,0),0)
+IF(AU3=$E3,2,0)+IF(AU3=$E3,IF(AV3=$F3,1,0),0)
+IF(AU4=$E4,2,0)+IF(AU4=$E4,IF(AV4=$F4,1,0),0)
+IF(AU5=$E5,2,0)+IF(AU5=$E5,IF(AV5=$F5,1,0),0)
+IF(AU6=$E6,2,0)+IF(AU6=$E6,IF(AV6=$F6,1,0),0)
+IF(AU7=$E7,2,0)+IF(AU7=$E7,IF(AV7=$F7,1,0),0)
+IF(AU8=$E8,2,0)+IF(AU8=$E8,IF(AV8=$F8,1,0),0)
+IF(AU9=$E9,2,0)+IF(AU9=$E9,IF(AV9=$F9,1,0),0)</f>
        <v>13</v>
      </c>
      <c r="AW10" s="13"/>
      <c r="AX10" s="13">
        <f t="shared" si="0"/>
        <v>10</v>
      </c>
      <c r="AY10" s="13"/>
      <c r="AZ10" s="13">
        <f t="shared" si="0"/>
        <v>8</v>
      </c>
      <c r="BA10" s="13"/>
      <c r="BB10" s="13">
        <f t="shared" si="0"/>
        <v>9</v>
      </c>
      <c r="BC10" s="13"/>
      <c r="BD10" s="13">
        <f t="shared" si="0"/>
        <v>11</v>
      </c>
      <c r="BE10" s="13"/>
      <c r="BF10" s="13">
        <f t="shared" si="0"/>
        <v>8</v>
      </c>
      <c r="BG10" s="13"/>
      <c r="BH10" s="13">
        <f t="shared" si="0"/>
        <v>9</v>
      </c>
      <c r="BI10" s="13"/>
      <c r="BJ10" s="13">
        <f t="shared" si="0"/>
        <v>11</v>
      </c>
      <c r="BK10" s="13"/>
      <c r="BL10" s="13">
        <f t="shared" si="0"/>
        <v>10</v>
      </c>
      <c r="BM10" s="13"/>
      <c r="BN10" s="13">
        <f t="shared" si="0"/>
        <v>7</v>
      </c>
      <c r="BO10" s="13"/>
      <c r="BP10" s="13">
        <f t="shared" si="0"/>
        <v>6</v>
      </c>
      <c r="BQ10" s="13"/>
      <c r="BR10" s="13">
        <f t="shared" si="0"/>
        <v>10</v>
      </c>
      <c r="BS10" s="13"/>
      <c r="BT10" s="13">
        <f t="shared" ref="BT10" si="1">IF(BS2=$E2,2,0)+IF(BS2=$E2,IF(BT2=$F2,1,0),0)
+IF(BS3=$E3,2,0)+IF(BS3=$E3,IF(BT3=$F3,1,0),0)
+IF(BS4=$E4,2,0)+IF(BS4=$E4,IF(BT4=$F4,1,0),0)
+IF(BS5=$E5,2,0)+IF(BS5=$E5,IF(BT5=$F5,1,0),0)
+IF(BS6=$E6,2,0)+IF(BS6=$E6,IF(BT6=$F6,1,0),0)
+IF(BS7=$E7,2,0)+IF(BS7=$E7,IF(BT7=$F7,1,0),0)
+IF(BS8=$E8,2,0)+IF(BS8=$E8,IF(BT8=$F8,1,0),0)
+IF(BS9=$E9,2,0)+IF(BS9=$E9,IF(BT9=$F9,1,0),0)</f>
        <v>11</v>
      </c>
      <c r="BU10" s="13"/>
      <c r="BV10" s="13">
        <f t="shared" ref="BV10" si="2">IF(BU2=$E2,2,0)+IF(BU2=$E2,IF(BV2=$F2,1,0),0)
+IF(BU3=$E3,2,0)+IF(BU3=$E3,IF(BV3=$F3,1,0),0)
+IF(BU4=$E4,2,0)+IF(BU4=$E4,IF(BV4=$F4,1,0),0)
+IF(BU5=$E5,2,0)+IF(BU5=$E5,IF(BV5=$F5,1,0),0)
+IF(BU6=$E6,2,0)+IF(BU6=$E6,IF(BV6=$F6,1,0),0)
+IF(BU7=$E7,2,0)+IF(BU7=$E7,IF(BV7=$F7,1,0),0)
+IF(BU8=$E8,2,0)+IF(BU8=$E8,IF(BV8=$F8,1,0),0)
+IF(BU9=$E9,2,0)+IF(BU9=$E9,IF(BV9=$F9,1,0),0)</f>
        <v>8</v>
      </c>
      <c r="BW10" s="28"/>
      <c r="BX10" s="28">
        <f t="shared" ref="BX10" si="3">IF(BW2=$E2,2,0)+IF(BW2=$E2,IF(BX2=$F2,1,0),0)
+IF(BW3=$E3,2,0)+IF(BW3=$E3,IF(BX3=$F3,1,0),0)
+IF(BW4=$E4,2,0)+IF(BW4=$E4,IF(BX4=$F4,1,0),0)
+IF(BW5=$E5,2,0)+IF(BW5=$E5,IF(BX5=$F5,1,0),0)
+IF(BW6=$E6,2,0)+IF(BW6=$E6,IF(BX6=$F6,1,0),0)
+IF(BW7=$E7,2,0)+IF(BW7=$E7,IF(BX7=$F7,1,0),0)
+IF(BW8=$E8,2,0)+IF(BW8=$E8,IF(BX8=$F8,1,0),0)
+IF(BW9=$E9,2,0)+IF(BW9=$E9,IF(BX9=$F9,1,0),0)</f>
        <v>14</v>
      </c>
      <c r="BY10" s="13"/>
      <c r="BZ10" s="13">
        <f t="shared" ref="BZ10" si="4">IF(BY2=$E2,2,0)+IF(BY2=$E2,IF(BZ2=$F2,1,0),0)
+IF(BY3=$E3,2,0)+IF(BY3=$E3,IF(BZ3=$F3,1,0),0)
+IF(BY4=$E4,2,0)+IF(BY4=$E4,IF(BZ4=$F4,1,0),0)
+IF(BY5=$E5,2,0)+IF(BY5=$E5,IF(BZ5=$F5,1,0),0)
+IF(BY6=$E6,2,0)+IF(BY6=$E6,IF(BZ6=$F6,1,0),0)
+IF(BY7=$E7,2,0)+IF(BY7=$E7,IF(BZ7=$F7,1,0),0)
+IF(BY8=$E8,2,0)+IF(BY8=$E8,IF(BZ8=$F8,1,0),0)
+IF(BY9=$E9,2,0)+IF(BY9=$E9,IF(BZ9=$F9,1,0),0)</f>
        <v>7</v>
      </c>
      <c r="CA10" s="13"/>
      <c r="CB10" s="13">
        <f t="shared" ref="CB10" si="5">IF(CA2=$E2,2,0)+IF(CA2=$E2,IF(CB2=$F2,1,0),0)
+IF(CA3=$E3,2,0)+IF(CA3=$E3,IF(CB3=$F3,1,0),0)
+IF(CA4=$E4,2,0)+IF(CA4=$E4,IF(CB4=$F4,1,0),0)
+IF(CA5=$E5,2,0)+IF(CA5=$E5,IF(CB5=$F5,1,0),0)
+IF(CA6=$E6,2,0)+IF(CA6=$E6,IF(CB6=$F6,1,0),0)
+IF(CA7=$E7,2,0)+IF(CA7=$E7,IF(CB7=$F7,1,0),0)
+IF(CA8=$E8,2,0)+IF(CA8=$E8,IF(CB8=$F8,1,0),0)
+IF(CA9=$E9,2,0)+IF(CA9=$E9,IF(CB9=$F9,1,0),0)</f>
        <v>9</v>
      </c>
      <c r="CC10" s="13"/>
      <c r="CD10" s="13">
        <f t="shared" ref="CD10" si="6">IF(CC2=$E2,2,0)+IF(CC2=$E2,IF(CD2=$F2,1,0),0)
+IF(CC3=$E3,2,0)+IF(CC3=$E3,IF(CD3=$F3,1,0),0)
+IF(CC4=$E4,2,0)+IF(CC4=$E4,IF(CD4=$F4,1,0),0)
+IF(CC5=$E5,2,0)+IF(CC5=$E5,IF(CD5=$F5,1,0),0)
+IF(CC6=$E6,2,0)+IF(CC6=$E6,IF(CD6=$F6,1,0),0)
+IF(CC7=$E7,2,0)+IF(CC7=$E7,IF(CD7=$F7,1,0),0)
+IF(CC8=$E8,2,0)+IF(CC8=$E8,IF(CD8=$F8,1,0),0)
+IF(CC9=$E9,2,0)+IF(CC9=$E9,IF(CD9=$F9,1,0),0)</f>
        <v>10</v>
      </c>
    </row>
    <row r="11" spans="1:82" x14ac:dyDescent="0.2">
      <c r="E11" s="16"/>
      <c r="F11" s="16"/>
      <c r="G11" s="8"/>
      <c r="H11" s="12"/>
      <c r="I11" s="8"/>
      <c r="J11" s="12"/>
      <c r="K11" s="8"/>
      <c r="L11" s="12"/>
      <c r="M11" s="40"/>
      <c r="N11" s="41"/>
      <c r="O11" s="8"/>
      <c r="P11" s="12"/>
      <c r="Q11" s="8"/>
      <c r="R11" s="12"/>
      <c r="S11" s="29"/>
      <c r="T11" s="30"/>
      <c r="U11" s="8"/>
      <c r="V11" s="12"/>
      <c r="W11" s="8"/>
      <c r="X11" s="12"/>
      <c r="Y11" s="8"/>
      <c r="Z11" s="12"/>
      <c r="AA11" s="8"/>
      <c r="AB11" s="12"/>
      <c r="AC11" s="29"/>
      <c r="AD11" s="30"/>
      <c r="AE11" s="8"/>
      <c r="AF11" s="12"/>
      <c r="AG11" s="8"/>
      <c r="AH11" s="12"/>
      <c r="AI11" s="29"/>
      <c r="AJ11" s="30"/>
      <c r="AK11" s="8"/>
      <c r="AL11" s="12"/>
      <c r="AM11" s="8"/>
      <c r="AN11" s="12"/>
      <c r="AO11" s="29"/>
      <c r="AP11" s="30"/>
      <c r="AQ11" s="8"/>
      <c r="AR11" s="12"/>
      <c r="AS11" s="40"/>
      <c r="AT11" s="41"/>
    </row>
    <row r="12" spans="1:82" x14ac:dyDescent="0.2">
      <c r="A12" s="18">
        <f>E2</f>
        <v>0</v>
      </c>
      <c r="B12">
        <v>4</v>
      </c>
      <c r="C12" s="18" t="str">
        <f>E3</f>
        <v>Boston</v>
      </c>
      <c r="D12">
        <v>4</v>
      </c>
      <c r="E12" s="25"/>
      <c r="F12" s="21"/>
      <c r="G12" s="25" t="s">
        <v>52</v>
      </c>
      <c r="H12" s="25">
        <v>7</v>
      </c>
      <c r="I12" s="25" t="s">
        <v>52</v>
      </c>
      <c r="J12" s="25">
        <v>6</v>
      </c>
      <c r="K12" s="25" t="s">
        <v>29</v>
      </c>
      <c r="L12" s="25">
        <v>6</v>
      </c>
      <c r="M12" s="38" t="s">
        <v>52</v>
      </c>
      <c r="N12" s="38">
        <v>6</v>
      </c>
      <c r="O12" s="25" t="s">
        <v>30</v>
      </c>
      <c r="P12" s="25">
        <v>6</v>
      </c>
      <c r="Q12" s="25" t="s">
        <v>52</v>
      </c>
      <c r="R12" s="25">
        <v>7</v>
      </c>
      <c r="S12" s="27" t="s">
        <v>52</v>
      </c>
      <c r="T12" s="27">
        <v>6</v>
      </c>
      <c r="U12" s="25" t="s">
        <v>52</v>
      </c>
      <c r="V12" s="25">
        <v>5</v>
      </c>
      <c r="W12" s="25" t="s">
        <v>52</v>
      </c>
      <c r="X12" s="25">
        <v>5</v>
      </c>
      <c r="Y12" s="25" t="s">
        <v>30</v>
      </c>
      <c r="Z12" s="25">
        <v>6</v>
      </c>
      <c r="AA12" s="25" t="s">
        <v>29</v>
      </c>
      <c r="AB12" s="25">
        <v>7</v>
      </c>
      <c r="AC12" s="27" t="s">
        <v>52</v>
      </c>
      <c r="AD12" s="27">
        <v>6</v>
      </c>
      <c r="AE12" s="25" t="s">
        <v>52</v>
      </c>
      <c r="AF12" s="25">
        <v>5</v>
      </c>
      <c r="AG12" s="25" t="s">
        <v>30</v>
      </c>
      <c r="AH12" s="25">
        <v>6</v>
      </c>
      <c r="AI12" s="27" t="s">
        <v>52</v>
      </c>
      <c r="AJ12" s="27">
        <v>6</v>
      </c>
      <c r="AK12" s="25" t="s">
        <v>52</v>
      </c>
      <c r="AL12" s="25">
        <v>7</v>
      </c>
      <c r="AM12" s="25" t="s">
        <v>30</v>
      </c>
      <c r="AN12" s="25">
        <v>7</v>
      </c>
      <c r="AO12" s="27" t="s">
        <v>52</v>
      </c>
      <c r="AP12" s="27">
        <v>6</v>
      </c>
      <c r="AQ12" s="25" t="s">
        <v>53</v>
      </c>
      <c r="AR12" s="25">
        <v>7</v>
      </c>
      <c r="AS12" s="38" t="s">
        <v>52</v>
      </c>
      <c r="AT12" s="38">
        <v>5</v>
      </c>
      <c r="AU12" s="25" t="s">
        <v>52</v>
      </c>
      <c r="AV12" s="25">
        <v>6</v>
      </c>
      <c r="AW12" s="25" t="s">
        <v>29</v>
      </c>
      <c r="AX12" s="25">
        <v>6</v>
      </c>
      <c r="AY12" s="25" t="s">
        <v>29</v>
      </c>
      <c r="AZ12" s="25">
        <v>6</v>
      </c>
      <c r="BA12" s="25" t="s">
        <v>52</v>
      </c>
      <c r="BB12" s="25">
        <v>6</v>
      </c>
      <c r="BC12" s="25" t="s">
        <v>30</v>
      </c>
      <c r="BD12" s="25">
        <v>7</v>
      </c>
      <c r="BE12" s="25" t="s">
        <v>52</v>
      </c>
      <c r="BF12" s="25">
        <v>6</v>
      </c>
      <c r="BG12" s="25" t="s">
        <v>52</v>
      </c>
      <c r="BH12" s="25">
        <v>7</v>
      </c>
      <c r="BI12" s="25" t="s">
        <v>52</v>
      </c>
      <c r="BJ12" s="25">
        <v>7</v>
      </c>
      <c r="BK12" s="25" t="s">
        <v>52</v>
      </c>
      <c r="BL12" s="25">
        <v>7</v>
      </c>
      <c r="BM12" s="25" t="s">
        <v>30</v>
      </c>
      <c r="BN12" s="25">
        <v>7</v>
      </c>
      <c r="BO12" s="25" t="s">
        <v>52</v>
      </c>
      <c r="BP12" s="25">
        <v>6</v>
      </c>
      <c r="BQ12" s="25" t="s">
        <v>30</v>
      </c>
      <c r="BR12" s="25">
        <v>6</v>
      </c>
      <c r="BS12" s="25" t="s">
        <v>53</v>
      </c>
      <c r="BT12" s="25">
        <v>7</v>
      </c>
      <c r="BU12" s="25" t="s">
        <v>52</v>
      </c>
      <c r="BV12" s="25">
        <v>5</v>
      </c>
      <c r="BW12" s="27" t="s">
        <v>52</v>
      </c>
      <c r="BX12" s="27">
        <v>7</v>
      </c>
      <c r="BY12" s="25" t="s">
        <v>30</v>
      </c>
      <c r="BZ12" s="25">
        <v>5</v>
      </c>
      <c r="CA12" s="25" t="s">
        <v>30</v>
      </c>
      <c r="CB12" s="25">
        <v>6</v>
      </c>
      <c r="CC12" s="25" t="s">
        <v>52</v>
      </c>
      <c r="CD12" s="25">
        <v>5</v>
      </c>
    </row>
    <row r="13" spans="1:82" x14ac:dyDescent="0.2">
      <c r="A13" s="18" t="str">
        <f>E4</f>
        <v>Washington</v>
      </c>
      <c r="B13">
        <v>4</v>
      </c>
      <c r="C13" s="18" t="str">
        <f>E5</f>
        <v>Pittsburgh</v>
      </c>
      <c r="D13">
        <v>4</v>
      </c>
      <c r="E13" s="25"/>
      <c r="F13" s="21"/>
      <c r="G13" s="25" t="s">
        <v>12</v>
      </c>
      <c r="H13" s="25">
        <v>7</v>
      </c>
      <c r="I13" s="25" t="s">
        <v>12</v>
      </c>
      <c r="J13" s="25">
        <v>7</v>
      </c>
      <c r="K13" s="25" t="s">
        <v>12</v>
      </c>
      <c r="L13" s="25">
        <v>7</v>
      </c>
      <c r="M13" s="38" t="s">
        <v>13</v>
      </c>
      <c r="N13" s="38">
        <v>6</v>
      </c>
      <c r="O13" s="25" t="s">
        <v>12</v>
      </c>
      <c r="P13" s="25">
        <v>6</v>
      </c>
      <c r="Q13" s="25" t="s">
        <v>13</v>
      </c>
      <c r="R13" s="25">
        <v>6</v>
      </c>
      <c r="S13" s="27" t="s">
        <v>13</v>
      </c>
      <c r="T13" s="27">
        <v>6</v>
      </c>
      <c r="U13" s="25" t="s">
        <v>12</v>
      </c>
      <c r="V13" s="25">
        <v>6</v>
      </c>
      <c r="W13" s="25" t="s">
        <v>12</v>
      </c>
      <c r="X13" s="25">
        <v>7</v>
      </c>
      <c r="Y13" s="25" t="s">
        <v>12</v>
      </c>
      <c r="Z13" s="25">
        <v>7</v>
      </c>
      <c r="AA13" s="25" t="s">
        <v>12</v>
      </c>
      <c r="AB13" s="25">
        <v>6</v>
      </c>
      <c r="AC13" s="27" t="s">
        <v>12</v>
      </c>
      <c r="AD13" s="27">
        <v>6</v>
      </c>
      <c r="AE13" s="25" t="s">
        <v>12</v>
      </c>
      <c r="AF13" s="25">
        <v>6</v>
      </c>
      <c r="AG13" s="25" t="s">
        <v>12</v>
      </c>
      <c r="AH13" s="25">
        <v>6</v>
      </c>
      <c r="AI13" s="27" t="s">
        <v>12</v>
      </c>
      <c r="AJ13" s="27">
        <v>7</v>
      </c>
      <c r="AK13" s="25" t="s">
        <v>12</v>
      </c>
      <c r="AL13" s="25">
        <v>6</v>
      </c>
      <c r="AM13" s="25" t="s">
        <v>12</v>
      </c>
      <c r="AN13" s="25">
        <v>7</v>
      </c>
      <c r="AO13" s="27" t="s">
        <v>13</v>
      </c>
      <c r="AP13" s="27">
        <v>6</v>
      </c>
      <c r="AQ13" s="25" t="s">
        <v>12</v>
      </c>
      <c r="AR13" s="25">
        <v>5</v>
      </c>
      <c r="AS13" s="38" t="s">
        <v>13</v>
      </c>
      <c r="AT13" s="38">
        <v>6</v>
      </c>
      <c r="AU13" s="25" t="s">
        <v>13</v>
      </c>
      <c r="AV13" s="25">
        <v>7</v>
      </c>
      <c r="AW13" s="25" t="s">
        <v>12</v>
      </c>
      <c r="AX13" s="25">
        <v>5</v>
      </c>
      <c r="AY13" s="25" t="s">
        <v>12</v>
      </c>
      <c r="AZ13" s="25">
        <v>7</v>
      </c>
      <c r="BA13" s="25" t="s">
        <v>13</v>
      </c>
      <c r="BB13" s="25">
        <v>7</v>
      </c>
      <c r="BC13" s="25" t="s">
        <v>12</v>
      </c>
      <c r="BD13" s="25">
        <v>6</v>
      </c>
      <c r="BE13" s="25" t="s">
        <v>12</v>
      </c>
      <c r="BF13" s="25">
        <v>7</v>
      </c>
      <c r="BG13" s="25" t="s">
        <v>12</v>
      </c>
      <c r="BH13" s="25">
        <v>6</v>
      </c>
      <c r="BI13" s="25" t="s">
        <v>12</v>
      </c>
      <c r="BJ13" s="25">
        <v>6</v>
      </c>
      <c r="BK13" s="25" t="s">
        <v>12</v>
      </c>
      <c r="BL13" s="25">
        <v>6</v>
      </c>
      <c r="BM13" s="25" t="s">
        <v>54</v>
      </c>
      <c r="BN13" s="25">
        <v>7</v>
      </c>
      <c r="BO13" s="25" t="s">
        <v>54</v>
      </c>
      <c r="BP13" s="25">
        <v>6</v>
      </c>
      <c r="BQ13" s="25" t="s">
        <v>12</v>
      </c>
      <c r="BR13" s="25">
        <v>6</v>
      </c>
      <c r="BS13" s="25" t="s">
        <v>13</v>
      </c>
      <c r="BT13" s="25">
        <v>7</v>
      </c>
      <c r="BU13" s="25" t="s">
        <v>12</v>
      </c>
      <c r="BV13" s="25">
        <v>7</v>
      </c>
      <c r="BW13" s="27" t="s">
        <v>13</v>
      </c>
      <c r="BX13" s="27">
        <v>6</v>
      </c>
      <c r="BY13" s="25" t="s">
        <v>13</v>
      </c>
      <c r="BZ13" s="25">
        <v>5</v>
      </c>
      <c r="CA13" s="25" t="s">
        <v>12</v>
      </c>
      <c r="CB13" s="25">
        <v>6</v>
      </c>
      <c r="CC13" s="25" t="s">
        <v>12</v>
      </c>
      <c r="CD13" s="25">
        <v>6</v>
      </c>
    </row>
    <row r="14" spans="1:82" x14ac:dyDescent="0.2">
      <c r="A14" s="23" t="str">
        <f>E6</f>
        <v>Nashville</v>
      </c>
      <c r="B14" s="21">
        <v>4</v>
      </c>
      <c r="C14" s="23">
        <f>E7</f>
        <v>0</v>
      </c>
      <c r="D14" s="21">
        <v>4</v>
      </c>
      <c r="E14" s="25"/>
      <c r="F14" s="21"/>
      <c r="G14" s="25" t="s">
        <v>20</v>
      </c>
      <c r="H14" s="25">
        <v>6</v>
      </c>
      <c r="I14" s="25" t="s">
        <v>20</v>
      </c>
      <c r="J14" s="25">
        <v>6</v>
      </c>
      <c r="K14" s="25" t="s">
        <v>20</v>
      </c>
      <c r="L14" s="25">
        <v>5</v>
      </c>
      <c r="M14" s="38" t="s">
        <v>20</v>
      </c>
      <c r="N14" s="38">
        <v>6</v>
      </c>
      <c r="O14" s="25" t="s">
        <v>55</v>
      </c>
      <c r="P14" s="25">
        <v>6</v>
      </c>
      <c r="Q14" s="25" t="s">
        <v>20</v>
      </c>
      <c r="R14" s="25">
        <v>6</v>
      </c>
      <c r="S14" s="27" t="s">
        <v>20</v>
      </c>
      <c r="T14" s="27">
        <v>6</v>
      </c>
      <c r="U14" s="25" t="s">
        <v>20</v>
      </c>
      <c r="V14" s="25">
        <v>4</v>
      </c>
      <c r="W14" s="25" t="s">
        <v>20</v>
      </c>
      <c r="X14" s="25">
        <v>7</v>
      </c>
      <c r="Y14" s="25" t="s">
        <v>20</v>
      </c>
      <c r="Z14" s="25">
        <v>7</v>
      </c>
      <c r="AA14" s="25" t="s">
        <v>20</v>
      </c>
      <c r="AB14" s="25">
        <v>7</v>
      </c>
      <c r="AC14" s="27" t="s">
        <v>20</v>
      </c>
      <c r="AD14" s="27">
        <v>7</v>
      </c>
      <c r="AE14" s="25" t="s">
        <v>20</v>
      </c>
      <c r="AF14" s="25">
        <v>6</v>
      </c>
      <c r="AG14" s="25" t="s">
        <v>20</v>
      </c>
      <c r="AH14" s="25">
        <v>6</v>
      </c>
      <c r="AI14" s="27" t="s">
        <v>55</v>
      </c>
      <c r="AJ14" s="27">
        <v>6</v>
      </c>
      <c r="AK14" s="25" t="s">
        <v>16</v>
      </c>
      <c r="AL14" s="25">
        <v>6</v>
      </c>
      <c r="AM14" s="25" t="s">
        <v>20</v>
      </c>
      <c r="AN14" s="25">
        <v>7</v>
      </c>
      <c r="AO14" s="27" t="s">
        <v>20</v>
      </c>
      <c r="AP14" s="27">
        <v>5</v>
      </c>
      <c r="AQ14" s="25" t="s">
        <v>55</v>
      </c>
      <c r="AR14" s="25">
        <v>7</v>
      </c>
      <c r="AS14" s="38" t="s">
        <v>20</v>
      </c>
      <c r="AT14" s="38">
        <v>6</v>
      </c>
      <c r="AU14" s="25" t="s">
        <v>20</v>
      </c>
      <c r="AV14" s="25">
        <v>6</v>
      </c>
      <c r="AW14" s="25" t="s">
        <v>20</v>
      </c>
      <c r="AX14" s="25">
        <v>6</v>
      </c>
      <c r="AY14" s="25" t="s">
        <v>20</v>
      </c>
      <c r="AZ14" s="25">
        <v>7</v>
      </c>
      <c r="BA14" s="25" t="s">
        <v>20</v>
      </c>
      <c r="BB14" s="25">
        <v>6</v>
      </c>
      <c r="BC14" s="25" t="s">
        <v>55</v>
      </c>
      <c r="BD14" s="25">
        <v>6</v>
      </c>
      <c r="BE14" s="25" t="s">
        <v>20</v>
      </c>
      <c r="BF14" s="25">
        <v>5</v>
      </c>
      <c r="BG14" s="25" t="s">
        <v>20</v>
      </c>
      <c r="BH14" s="25">
        <v>6</v>
      </c>
      <c r="BI14" s="25" t="s">
        <v>20</v>
      </c>
      <c r="BJ14" s="25">
        <v>6</v>
      </c>
      <c r="BK14" s="25" t="s">
        <v>20</v>
      </c>
      <c r="BL14" s="25">
        <v>6</v>
      </c>
      <c r="BM14" s="25" t="s">
        <v>55</v>
      </c>
      <c r="BN14" s="25">
        <v>7</v>
      </c>
      <c r="BO14" s="25" t="s">
        <v>16</v>
      </c>
      <c r="BP14" s="25">
        <v>7</v>
      </c>
      <c r="BQ14" s="25" t="s">
        <v>55</v>
      </c>
      <c r="BR14" s="25">
        <v>7</v>
      </c>
      <c r="BS14" s="25" t="s">
        <v>20</v>
      </c>
      <c r="BT14" s="25">
        <v>7</v>
      </c>
      <c r="BU14" s="25" t="s">
        <v>20</v>
      </c>
      <c r="BV14" s="25">
        <v>4</v>
      </c>
      <c r="BW14" s="27" t="s">
        <v>20</v>
      </c>
      <c r="BX14" s="27">
        <v>6</v>
      </c>
      <c r="BY14" s="25" t="s">
        <v>20</v>
      </c>
      <c r="BZ14" s="25">
        <v>6</v>
      </c>
      <c r="CA14" s="25" t="s">
        <v>20</v>
      </c>
      <c r="CB14" s="25">
        <v>6</v>
      </c>
      <c r="CC14" s="25" t="s">
        <v>20</v>
      </c>
      <c r="CD14" s="25">
        <v>5</v>
      </c>
    </row>
    <row r="15" spans="1:82" x14ac:dyDescent="0.2">
      <c r="A15" s="23" t="str">
        <f>E8</f>
        <v>Vegas</v>
      </c>
      <c r="B15" s="21">
        <v>4</v>
      </c>
      <c r="C15" s="23" t="str">
        <f>E9</f>
        <v>San Jose</v>
      </c>
      <c r="D15" s="21">
        <v>4</v>
      </c>
      <c r="E15" s="25"/>
      <c r="F15" s="21"/>
      <c r="G15" s="25" t="s">
        <v>56</v>
      </c>
      <c r="H15" s="25">
        <v>7</v>
      </c>
      <c r="I15" s="25" t="s">
        <v>56</v>
      </c>
      <c r="J15" s="25">
        <v>7</v>
      </c>
      <c r="K15" s="25" t="s">
        <v>14</v>
      </c>
      <c r="L15" s="25">
        <v>7</v>
      </c>
      <c r="M15" s="38" t="s">
        <v>14</v>
      </c>
      <c r="N15" s="38">
        <v>7</v>
      </c>
      <c r="O15" s="25" t="s">
        <v>14</v>
      </c>
      <c r="P15" s="25">
        <v>6</v>
      </c>
      <c r="Q15" s="25" t="s">
        <v>14</v>
      </c>
      <c r="R15" s="25">
        <v>6</v>
      </c>
      <c r="S15" s="27" t="s">
        <v>56</v>
      </c>
      <c r="T15" s="27">
        <v>6</v>
      </c>
      <c r="U15" s="25" t="s">
        <v>14</v>
      </c>
      <c r="V15" s="25">
        <v>7</v>
      </c>
      <c r="W15" s="25" t="s">
        <v>56</v>
      </c>
      <c r="X15" s="25">
        <v>5</v>
      </c>
      <c r="Y15" s="25" t="s">
        <v>56</v>
      </c>
      <c r="Z15" s="25">
        <v>6</v>
      </c>
      <c r="AA15" s="25" t="s">
        <v>11</v>
      </c>
      <c r="AB15" s="25">
        <v>6</v>
      </c>
      <c r="AC15" s="27" t="s">
        <v>56</v>
      </c>
      <c r="AD15" s="27">
        <v>6</v>
      </c>
      <c r="AE15" s="25" t="s">
        <v>56</v>
      </c>
      <c r="AF15" s="25">
        <v>6</v>
      </c>
      <c r="AG15" s="25" t="s">
        <v>14</v>
      </c>
      <c r="AH15" s="25">
        <v>6</v>
      </c>
      <c r="AI15" s="27" t="s">
        <v>56</v>
      </c>
      <c r="AJ15" s="27">
        <v>7</v>
      </c>
      <c r="AK15" s="25" t="s">
        <v>56</v>
      </c>
      <c r="AL15" s="25">
        <v>5</v>
      </c>
      <c r="AM15" s="25" t="s">
        <v>14</v>
      </c>
      <c r="AN15" s="25">
        <v>7</v>
      </c>
      <c r="AO15" s="27" t="s">
        <v>56</v>
      </c>
      <c r="AP15" s="27">
        <v>6</v>
      </c>
      <c r="AQ15" s="25" t="s">
        <v>14</v>
      </c>
      <c r="AR15" s="25">
        <v>6</v>
      </c>
      <c r="AS15" s="38" t="s">
        <v>14</v>
      </c>
      <c r="AT15" s="38">
        <v>6</v>
      </c>
      <c r="AU15" s="25" t="s">
        <v>14</v>
      </c>
      <c r="AV15" s="25">
        <v>5</v>
      </c>
      <c r="AW15" s="25" t="s">
        <v>14</v>
      </c>
      <c r="AX15" s="25">
        <v>6</v>
      </c>
      <c r="AY15" s="25" t="s">
        <v>57</v>
      </c>
      <c r="AZ15" s="25">
        <v>7</v>
      </c>
      <c r="BA15" s="25" t="s">
        <v>57</v>
      </c>
      <c r="BB15" s="25">
        <v>6</v>
      </c>
      <c r="BC15" s="25" t="s">
        <v>14</v>
      </c>
      <c r="BD15" s="25">
        <v>6</v>
      </c>
      <c r="BE15" s="25" t="s">
        <v>57</v>
      </c>
      <c r="BF15" s="25">
        <v>7</v>
      </c>
      <c r="BG15" s="25" t="s">
        <v>11</v>
      </c>
      <c r="BH15" s="25">
        <v>6</v>
      </c>
      <c r="BI15" s="25" t="s">
        <v>56</v>
      </c>
      <c r="BJ15" s="25">
        <v>7</v>
      </c>
      <c r="BK15" s="25" t="s">
        <v>56</v>
      </c>
      <c r="BL15" s="25">
        <v>7</v>
      </c>
      <c r="BM15" s="25" t="s">
        <v>57</v>
      </c>
      <c r="BN15" s="25">
        <v>6</v>
      </c>
      <c r="BO15" s="25" t="s">
        <v>56</v>
      </c>
      <c r="BP15" s="25">
        <v>6</v>
      </c>
      <c r="BQ15" s="25" t="s">
        <v>56</v>
      </c>
      <c r="BR15" s="25">
        <v>5</v>
      </c>
      <c r="BS15" s="25" t="s">
        <v>11</v>
      </c>
      <c r="BT15" s="25">
        <v>7</v>
      </c>
      <c r="BU15" s="25" t="s">
        <v>56</v>
      </c>
      <c r="BV15" s="25">
        <v>6</v>
      </c>
      <c r="BW15" s="27" t="s">
        <v>56</v>
      </c>
      <c r="BX15" s="27">
        <v>7</v>
      </c>
      <c r="BY15" s="25" t="s">
        <v>11</v>
      </c>
      <c r="BZ15" s="25">
        <v>5</v>
      </c>
      <c r="CA15" s="25" t="s">
        <v>14</v>
      </c>
      <c r="CB15" s="25">
        <v>6</v>
      </c>
      <c r="CC15" s="25" t="s">
        <v>14</v>
      </c>
      <c r="CD15" s="25">
        <v>6</v>
      </c>
    </row>
    <row r="16" spans="1:82" s="7" customFormat="1" x14ac:dyDescent="0.2">
      <c r="B16"/>
      <c r="D16"/>
      <c r="G16" s="10"/>
      <c r="H16" s="13">
        <f>IF(G12=$E12,3,0)+IF(G12=$E12,IF(H12=$F12,1,0),0)
+IF(G13=$E13,3,0)+IF(G13=$E13,IF(H13=$F13,1,0),0)
+IF(G14=$E14,3,0)+IF(G14=$E14,IF(H14=$F14,1,0),0)
+IF(G15=$E15,3,0)+IF(G15=$E15,IF(H15=$F15,1,0),0)</f>
        <v>0</v>
      </c>
      <c r="I16" s="13"/>
      <c r="J16" s="13">
        <f t="shared" ref="J16:AT16" si="7">IF(I12=$E12,3,0)+IF(I12=$E12,IF(J12=$F12,1,0),0)
+IF(I13=$E13,3,0)+IF(I13=$E13,IF(J13=$F13,1,0),0)
+IF(I14=$E14,3,0)+IF(I14=$E14,IF(J14=$F14,1,0),0)
+IF(I15=$E15,3,0)+IF(I15=$E15,IF(J15=$F15,1,0),0)</f>
        <v>0</v>
      </c>
      <c r="K16" s="13"/>
      <c r="L16" s="13">
        <f t="shared" si="7"/>
        <v>0</v>
      </c>
      <c r="M16" s="39"/>
      <c r="N16" s="39">
        <f t="shared" si="7"/>
        <v>0</v>
      </c>
      <c r="O16" s="13"/>
      <c r="P16" s="13">
        <f t="shared" si="7"/>
        <v>0</v>
      </c>
      <c r="Q16" s="13"/>
      <c r="R16" s="13">
        <f t="shared" si="7"/>
        <v>0</v>
      </c>
      <c r="S16" s="28"/>
      <c r="T16" s="28">
        <f t="shared" si="7"/>
        <v>0</v>
      </c>
      <c r="U16" s="13"/>
      <c r="V16" s="13">
        <f t="shared" si="7"/>
        <v>0</v>
      </c>
      <c r="W16" s="13"/>
      <c r="X16" s="13">
        <f t="shared" si="7"/>
        <v>0</v>
      </c>
      <c r="Y16" s="13"/>
      <c r="Z16" s="13">
        <f t="shared" si="7"/>
        <v>0</v>
      </c>
      <c r="AA16" s="13"/>
      <c r="AB16" s="13">
        <f t="shared" si="7"/>
        <v>0</v>
      </c>
      <c r="AC16" s="28"/>
      <c r="AD16" s="28">
        <f t="shared" si="7"/>
        <v>0</v>
      </c>
      <c r="AE16" s="13"/>
      <c r="AF16" s="13">
        <f t="shared" si="7"/>
        <v>0</v>
      </c>
      <c r="AG16" s="13"/>
      <c r="AH16" s="13">
        <f t="shared" si="7"/>
        <v>0</v>
      </c>
      <c r="AI16" s="28"/>
      <c r="AJ16" s="28">
        <f t="shared" si="7"/>
        <v>0</v>
      </c>
      <c r="AK16" s="13"/>
      <c r="AL16" s="13">
        <f t="shared" si="7"/>
        <v>0</v>
      </c>
      <c r="AM16" s="13"/>
      <c r="AN16" s="13">
        <f t="shared" si="7"/>
        <v>0</v>
      </c>
      <c r="AO16" s="28"/>
      <c r="AP16" s="28">
        <f t="shared" si="7"/>
        <v>0</v>
      </c>
      <c r="AQ16" s="13"/>
      <c r="AR16" s="13">
        <f t="shared" si="7"/>
        <v>0</v>
      </c>
      <c r="AS16" s="39"/>
      <c r="AT16" s="39">
        <f t="shared" si="7"/>
        <v>0</v>
      </c>
      <c r="AU16" s="13"/>
      <c r="AV16" s="13">
        <f>IF(AU12=$E12,3,0)+IF(AU12=$E12,IF(AV12=$F12,1,0),0)
+IF(AU13=$E13,3,0)+IF(AU13=$E13,IF(AV13=$F13,1,0),0)
+IF(AU14=$E14,3,0)+IF(AU14=$E14,IF(AV14=$F14,1,0),0)
+IF(AU15=$E15,3,0)+IF(AU15=$E15,IF(AV15=$F15,1,0),0)</f>
        <v>0</v>
      </c>
      <c r="AW16" s="13"/>
      <c r="AX16" s="13">
        <f>IF(AW12=$E12,3,0)+IF(AW12=$E12,IF(AX12=$F12,1,0),0)
+IF(AW13=$E13,3,0)+IF(AW13=$E13,IF(AX13=$F13,1,0),0)
+IF(AW14=$E14,3,0)+IF(AW14=$E14,IF(AX14=$F14,1,0),0)
+IF(AW15=$E15,3,0)+IF(AW15=$E15,IF(AX15=$F15,1,0),0)</f>
        <v>0</v>
      </c>
      <c r="AY16" s="13"/>
      <c r="AZ16" s="13">
        <f>IF(AY12=$E12,3,0)+IF(AY12=$E12,IF(AZ12=$F12,1,0),0)
+IF(AY13=$E13,3,0)+IF(AY13=$E13,IF(AZ13=$F13,1,0),0)
+IF(AY14=$E14,3,0)+IF(AY14=$E14,IF(AZ14=$F14,1,0),0)
+IF(AY15=$E15,3,0)+IF(AY15=$E15,IF(AZ15=$F15,1,0),0)</f>
        <v>0</v>
      </c>
      <c r="BA16" s="13"/>
      <c r="BB16" s="13">
        <f>IF(BA12=$E12,3,0)+IF(BA12=$E12,IF(BB12=$F12,1,0),0)
+IF(BA13=$E13,3,0)+IF(BA13=$E13,IF(BB13=$F13,1,0),0)
+IF(BA14=$E14,3,0)+IF(BA14=$E14,IF(BB14=$F14,1,0),0)
+IF(BA15=$E15,3,0)+IF(BA15=$E15,IF(BB15=$F15,1,0),0)</f>
        <v>0</v>
      </c>
      <c r="BC16" s="13"/>
      <c r="BD16" s="13">
        <f>IF(BC12=$E12,3,0)+IF(BC12=$E12,IF(BD12=$F12,1,0),0)
+IF(BC13=$E13,3,0)+IF(BC13=$E13,IF(BD13=$F13,1,0),0)
+IF(BC14=$E14,3,0)+IF(BC14=$E14,IF(BD14=$F14,1,0),0)
+IF(BC15=$E15,3,0)+IF(BC15=$E15,IF(BD15=$F15,1,0),0)</f>
        <v>0</v>
      </c>
      <c r="BE16" s="13"/>
      <c r="BF16" s="13">
        <f>IF(BE12=$E12,3,0)+IF(BE12=$E12,IF(BF12=$F12,1,0),0)
+IF(BE13=$E13,3,0)+IF(BE13=$E13,IF(BF13=$F13,1,0),0)
+IF(BE14=$E14,3,0)+IF(BE14=$E14,IF(BF14=$F14,1,0),0)
+IF(BE15=$E15,3,0)+IF(BE15=$E15,IF(BF15=$F15,1,0),0)</f>
        <v>0</v>
      </c>
      <c r="BG16" s="13"/>
      <c r="BH16" s="13">
        <f>IF(BG12=$E12,3,0)+IF(BG12=$E12,IF(BH12=$F12,1,0),0)
+IF(BG13=$E13,3,0)+IF(BG13=$E13,IF(BH13=$F13,1,0),0)
+IF(BG14=$E14,3,0)+IF(BG14=$E14,IF(BH14=$F14,1,0),0)
+IF(BG15=$E15,3,0)+IF(BG15=$E15,IF(BH15=$F15,1,0),0)</f>
        <v>0</v>
      </c>
      <c r="BI16" s="13"/>
      <c r="BJ16" s="13">
        <f>IF(BI12=$E12,3,0)+IF(BI12=$E12,IF(BJ12=$F12,1,0),0)
+IF(BI13=$E13,3,0)+IF(BI13=$E13,IF(BJ13=$F13,1,0),0)
+IF(BI14=$E14,3,0)+IF(BI14=$E14,IF(BJ14=$F14,1,0),0)
+IF(BI15=$E15,3,0)+IF(BI15=$E15,IF(BJ15=$F15,1,0),0)</f>
        <v>0</v>
      </c>
      <c r="BK16" s="13"/>
      <c r="BL16" s="13">
        <f>IF(BK12=$E12,3,0)+IF(BK12=$E12,IF(BL12=$F12,1,0),0)
+IF(BK13=$E13,3,0)+IF(BK13=$E13,IF(BL13=$F13,1,0),0)
+IF(BK14=$E14,3,0)+IF(BK14=$E14,IF(BL14=$F14,1,0),0)
+IF(BK15=$E15,3,0)+IF(BK15=$E15,IF(BL15=$F15,1,0),0)</f>
        <v>0</v>
      </c>
      <c r="BM16" s="13"/>
      <c r="BN16" s="13">
        <f>IF(BM12=$E12,3,0)+IF(BM12=$E12,IF(BN12=$F12,1,0),0)
+IF(BM13=$E13,3,0)+IF(BM13=$E13,IF(BN13=$F13,1,0),0)
+IF(BM14=$E14,3,0)+IF(BM14=$E14,IF(BN14=$F14,1,0),0)
+IF(BM15=$E15,3,0)+IF(BM15=$E15,IF(BN15=$F15,1,0),0)</f>
        <v>0</v>
      </c>
      <c r="BO16" s="13"/>
      <c r="BP16" s="13">
        <f>IF(BO12=$E12,3,0)+IF(BO12=$E12,IF(BP12=$F12,1,0),0)
+IF(BO13=$E13,3,0)+IF(BO13=$E13,IF(BP13=$F13,1,0),0)
+IF(BO14=$E14,3,0)+IF(BO14=$E14,IF(BP14=$F14,1,0),0)
+IF(BO15=$E15,3,0)+IF(BO15=$E15,IF(BP15=$F15,1,0),0)</f>
        <v>0</v>
      </c>
      <c r="BQ16" s="13"/>
      <c r="BR16" s="13">
        <f>IF(BQ12=$E12,3,0)+IF(BQ12=$E12,IF(BR12=$F12,1,0),0)
+IF(BQ13=$E13,3,0)+IF(BQ13=$E13,IF(BR13=$F13,1,0),0)
+IF(BQ14=$E14,3,0)+IF(BQ14=$E14,IF(BR14=$F14,1,0),0)
+IF(BQ15=$E15,3,0)+IF(BQ15=$E15,IF(BR15=$F15,1,0),0)</f>
        <v>0</v>
      </c>
      <c r="BS16" s="13"/>
      <c r="BT16" s="13">
        <f t="shared" ref="BT16" si="8">IF(BS12=$E12,3,0)+IF(BS12=$E12,IF(BT12=$F12,1,0),0)
+IF(BS13=$E13,3,0)+IF(BS13=$E13,IF(BT13=$F13,1,0),0)
+IF(BS14=$E14,3,0)+IF(BS14=$E14,IF(BT14=$F14,1,0),0)
+IF(BS15=$E15,3,0)+IF(BS15=$E15,IF(BT15=$F15,1,0),0)</f>
        <v>0</v>
      </c>
      <c r="BU16" s="13"/>
      <c r="BV16" s="13">
        <f t="shared" ref="BV16" si="9">IF(BU12=$E12,3,0)+IF(BU12=$E12,IF(BV12=$F12,1,0),0)
+IF(BU13=$E13,3,0)+IF(BU13=$E13,IF(BV13=$F13,1,0),0)
+IF(BU14=$E14,3,0)+IF(BU14=$E14,IF(BV14=$F14,1,0),0)
+IF(BU15=$E15,3,0)+IF(BU15=$E15,IF(BV15=$F15,1,0),0)</f>
        <v>0</v>
      </c>
      <c r="BW16" s="28"/>
      <c r="BX16" s="28">
        <f t="shared" ref="BX16" si="10">IF(BW12=$E12,3,0)+IF(BW12=$E12,IF(BX12=$F12,1,0),0)
+IF(BW13=$E13,3,0)+IF(BW13=$E13,IF(BX13=$F13,1,0),0)
+IF(BW14=$E14,3,0)+IF(BW14=$E14,IF(BX14=$F14,1,0),0)
+IF(BW15=$E15,3,0)+IF(BW15=$E15,IF(BX15=$F15,1,0),0)</f>
        <v>0</v>
      </c>
      <c r="BY16" s="13"/>
      <c r="BZ16" s="13">
        <f t="shared" ref="BZ16" si="11">IF(BY12=$E12,3,0)+IF(BY12=$E12,IF(BZ12=$F12,1,0),0)
+IF(BY13=$E13,3,0)+IF(BY13=$E13,IF(BZ13=$F13,1,0),0)
+IF(BY14=$E14,3,0)+IF(BY14=$E14,IF(BZ14=$F14,1,0),0)
+IF(BY15=$E15,3,0)+IF(BY15=$E15,IF(BZ15=$F15,1,0),0)</f>
        <v>0</v>
      </c>
      <c r="CA16" s="13"/>
      <c r="CB16" s="13">
        <f t="shared" ref="CB16" si="12">IF(CA12=$E12,3,0)+IF(CA12=$E12,IF(CB12=$F12,1,0),0)
+IF(CA13=$E13,3,0)+IF(CA13=$E13,IF(CB13=$F13,1,0),0)
+IF(CA14=$E14,3,0)+IF(CA14=$E14,IF(CB14=$F14,1,0),0)
+IF(CA15=$E15,3,0)+IF(CA15=$E15,IF(CB15=$F15,1,0),0)</f>
        <v>0</v>
      </c>
      <c r="CC16" s="13"/>
      <c r="CD16" s="13">
        <f t="shared" ref="CD16" si="13">IF(CC12=$E12,3,0)+IF(CC12=$E12,IF(CD12=$F12,1,0),0)
+IF(CC13=$E13,3,0)+IF(CC13=$E13,IF(CD13=$F13,1,0),0)
+IF(CC14=$E14,3,0)+IF(CC14=$E14,IF(CD14=$F14,1,0),0)
+IF(CC15=$E15,3,0)+IF(CC15=$E15,IF(CD15=$F15,1,0),0)</f>
        <v>0</v>
      </c>
    </row>
    <row r="17" spans="1:82" x14ac:dyDescent="0.2">
      <c r="G17" s="11"/>
      <c r="H17" s="14"/>
      <c r="I17" s="11"/>
      <c r="J17" s="14"/>
      <c r="K17" s="11"/>
      <c r="L17" s="14"/>
      <c r="M17" s="42"/>
      <c r="N17" s="43"/>
      <c r="O17" s="11"/>
      <c r="P17" s="14"/>
      <c r="Q17" s="11"/>
      <c r="R17" s="14"/>
      <c r="S17" s="31"/>
      <c r="T17" s="32"/>
      <c r="U17" s="11"/>
      <c r="V17" s="14"/>
      <c r="W17" s="11"/>
      <c r="X17" s="14"/>
      <c r="Y17" s="11"/>
      <c r="Z17" s="14"/>
      <c r="AA17" s="11"/>
      <c r="AB17" s="14"/>
      <c r="AC17" s="31"/>
      <c r="AD17" s="32"/>
      <c r="AE17" s="11"/>
      <c r="AF17" s="14"/>
      <c r="AG17" s="11"/>
      <c r="AH17" s="14"/>
      <c r="AI17" s="31"/>
      <c r="AJ17" s="32"/>
      <c r="AK17" s="11"/>
      <c r="AL17" s="14"/>
      <c r="AM17" s="11"/>
      <c r="AN17" s="14"/>
      <c r="AO17" s="31"/>
      <c r="AP17" s="32"/>
      <c r="AQ17" s="11"/>
      <c r="AR17" s="14"/>
      <c r="AS17" s="42"/>
      <c r="AT17" s="43"/>
    </row>
    <row r="18" spans="1:82" x14ac:dyDescent="0.2">
      <c r="A18" s="23">
        <f>E12</f>
        <v>0</v>
      </c>
      <c r="C18" s="23">
        <f>E13</f>
        <v>0</v>
      </c>
      <c r="E18" s="25"/>
      <c r="F18" s="22"/>
      <c r="G18" s="25" t="s">
        <v>12</v>
      </c>
      <c r="H18" s="25">
        <v>6</v>
      </c>
      <c r="I18" s="25" t="s">
        <v>52</v>
      </c>
      <c r="J18" s="25">
        <v>6</v>
      </c>
      <c r="K18" s="25" t="s">
        <v>29</v>
      </c>
      <c r="L18" s="25">
        <v>7</v>
      </c>
      <c r="M18" s="38" t="s">
        <v>13</v>
      </c>
      <c r="N18" s="38">
        <v>7</v>
      </c>
      <c r="O18" s="25" t="s">
        <v>30</v>
      </c>
      <c r="P18" s="25">
        <v>6</v>
      </c>
      <c r="Q18" s="25" t="s">
        <v>52</v>
      </c>
      <c r="R18" s="25">
        <v>5</v>
      </c>
      <c r="S18" s="27" t="s">
        <v>13</v>
      </c>
      <c r="T18" s="27">
        <v>6</v>
      </c>
      <c r="U18" s="25" t="s">
        <v>12</v>
      </c>
      <c r="V18" s="25">
        <v>7</v>
      </c>
      <c r="W18" s="25" t="s">
        <v>12</v>
      </c>
      <c r="X18" s="25">
        <v>7</v>
      </c>
      <c r="Y18" s="25" t="s">
        <v>12</v>
      </c>
      <c r="Z18" s="25">
        <v>6</v>
      </c>
      <c r="AA18" s="25" t="s">
        <v>29</v>
      </c>
      <c r="AB18" s="25">
        <v>7</v>
      </c>
      <c r="AC18" s="27" t="s">
        <v>52</v>
      </c>
      <c r="AD18" s="27">
        <v>6</v>
      </c>
      <c r="AE18" s="25" t="s">
        <v>12</v>
      </c>
      <c r="AF18" s="25">
        <v>7</v>
      </c>
      <c r="AG18" s="25" t="s">
        <v>12</v>
      </c>
      <c r="AH18" s="25">
        <v>6</v>
      </c>
      <c r="AI18" s="27" t="s">
        <v>52</v>
      </c>
      <c r="AJ18" s="27">
        <v>6</v>
      </c>
      <c r="AK18" s="25" t="s">
        <v>12</v>
      </c>
      <c r="AL18" s="25">
        <v>5</v>
      </c>
      <c r="AM18" s="25" t="s">
        <v>30</v>
      </c>
      <c r="AN18" s="25">
        <v>6</v>
      </c>
      <c r="AO18" s="27" t="s">
        <v>52</v>
      </c>
      <c r="AP18" s="27">
        <v>7</v>
      </c>
      <c r="AQ18" s="25" t="s">
        <v>53</v>
      </c>
      <c r="AR18" s="25">
        <v>6</v>
      </c>
      <c r="AS18" s="38" t="s">
        <v>13</v>
      </c>
      <c r="AT18" s="38">
        <v>7</v>
      </c>
      <c r="AU18" s="25" t="s">
        <v>52</v>
      </c>
      <c r="AV18" s="25">
        <v>6</v>
      </c>
      <c r="AW18" s="25" t="s">
        <v>29</v>
      </c>
      <c r="AX18" s="25">
        <v>7</v>
      </c>
      <c r="AY18" s="25" t="s">
        <v>29</v>
      </c>
      <c r="AZ18" s="25">
        <v>7</v>
      </c>
      <c r="BA18" s="25" t="s">
        <v>52</v>
      </c>
      <c r="BB18" s="25">
        <v>6</v>
      </c>
      <c r="BC18" s="25" t="s">
        <v>12</v>
      </c>
      <c r="BD18" s="25">
        <v>7</v>
      </c>
      <c r="BE18" s="25" t="s">
        <v>12</v>
      </c>
      <c r="BF18" s="25">
        <v>7</v>
      </c>
      <c r="BG18" s="25" t="s">
        <v>52</v>
      </c>
      <c r="BH18" s="25">
        <v>6</v>
      </c>
      <c r="BI18" s="25" t="s">
        <v>12</v>
      </c>
      <c r="BJ18" s="25">
        <v>7</v>
      </c>
      <c r="BK18" s="25" t="s">
        <v>52</v>
      </c>
      <c r="BL18" s="25">
        <v>7</v>
      </c>
      <c r="BM18" s="25" t="s">
        <v>54</v>
      </c>
      <c r="BN18" s="25">
        <v>6</v>
      </c>
      <c r="BO18" s="25" t="s">
        <v>54</v>
      </c>
      <c r="BP18" s="25">
        <v>6</v>
      </c>
      <c r="BQ18" s="25" t="s">
        <v>12</v>
      </c>
      <c r="BR18" s="25">
        <v>6</v>
      </c>
      <c r="BS18" s="25" t="s">
        <v>53</v>
      </c>
      <c r="BT18" s="25">
        <v>5</v>
      </c>
      <c r="BU18" s="25" t="s">
        <v>12</v>
      </c>
      <c r="BV18" s="25">
        <v>6</v>
      </c>
      <c r="BW18" s="27" t="s">
        <v>52</v>
      </c>
      <c r="BX18" s="27">
        <v>7</v>
      </c>
      <c r="BY18" s="25" t="s">
        <v>13</v>
      </c>
      <c r="BZ18" s="25">
        <v>6</v>
      </c>
      <c r="CA18" s="25" t="s">
        <v>12</v>
      </c>
      <c r="CB18" s="25">
        <v>6</v>
      </c>
      <c r="CC18" s="25" t="s">
        <v>52</v>
      </c>
      <c r="CD18" s="25">
        <v>6</v>
      </c>
    </row>
    <row r="19" spans="1:82" x14ac:dyDescent="0.2">
      <c r="A19" s="23">
        <f>E14</f>
        <v>0</v>
      </c>
      <c r="B19" s="21"/>
      <c r="C19" s="23">
        <f>E15</f>
        <v>0</v>
      </c>
      <c r="D19" s="21"/>
      <c r="E19" s="25"/>
      <c r="G19" s="25" t="s">
        <v>56</v>
      </c>
      <c r="H19" s="25">
        <v>7</v>
      </c>
      <c r="I19" s="25" t="s">
        <v>20</v>
      </c>
      <c r="J19" s="25">
        <v>7</v>
      </c>
      <c r="K19" s="25" t="s">
        <v>20</v>
      </c>
      <c r="L19" s="25">
        <v>5</v>
      </c>
      <c r="M19" s="38" t="s">
        <v>20</v>
      </c>
      <c r="N19" s="38">
        <v>6</v>
      </c>
      <c r="O19" s="25" t="s">
        <v>55</v>
      </c>
      <c r="P19" s="25">
        <v>6</v>
      </c>
      <c r="Q19" s="25" t="s">
        <v>20</v>
      </c>
      <c r="R19" s="25">
        <v>5</v>
      </c>
      <c r="S19" s="27" t="s">
        <v>56</v>
      </c>
      <c r="T19" s="27">
        <v>6</v>
      </c>
      <c r="U19" s="25" t="s">
        <v>20</v>
      </c>
      <c r="V19" s="25">
        <v>5</v>
      </c>
      <c r="W19" s="25" t="s">
        <v>56</v>
      </c>
      <c r="X19" s="25">
        <v>7</v>
      </c>
      <c r="Y19" s="25" t="s">
        <v>20</v>
      </c>
      <c r="Z19" s="25">
        <v>6</v>
      </c>
      <c r="AA19" s="25" t="s">
        <v>20</v>
      </c>
      <c r="AB19" s="25">
        <v>6</v>
      </c>
      <c r="AC19" s="27" t="s">
        <v>20</v>
      </c>
      <c r="AD19" s="27">
        <v>6</v>
      </c>
      <c r="AE19" s="25" t="s">
        <v>20</v>
      </c>
      <c r="AF19" s="25">
        <v>7</v>
      </c>
      <c r="AG19" s="25" t="s">
        <v>20</v>
      </c>
      <c r="AH19" s="25">
        <v>6</v>
      </c>
      <c r="AI19" s="27" t="s">
        <v>55</v>
      </c>
      <c r="AJ19" s="27">
        <v>6</v>
      </c>
      <c r="AK19" s="25" t="s">
        <v>56</v>
      </c>
      <c r="AL19" s="25">
        <v>6</v>
      </c>
      <c r="AM19" s="25" t="s">
        <v>14</v>
      </c>
      <c r="AN19" s="25">
        <v>7</v>
      </c>
      <c r="AO19" s="27" t="s">
        <v>56</v>
      </c>
      <c r="AP19" s="27">
        <v>7</v>
      </c>
      <c r="AQ19" s="25" t="s">
        <v>55</v>
      </c>
      <c r="AR19" s="25">
        <v>5</v>
      </c>
      <c r="AS19" s="38" t="s">
        <v>20</v>
      </c>
      <c r="AT19" s="38">
        <v>5</v>
      </c>
      <c r="AU19" s="25" t="s">
        <v>20</v>
      </c>
      <c r="AV19" s="25">
        <v>6</v>
      </c>
      <c r="AW19" s="25" t="s">
        <v>14</v>
      </c>
      <c r="AX19" s="25">
        <v>6</v>
      </c>
      <c r="AY19" s="25" t="s">
        <v>20</v>
      </c>
      <c r="AZ19" s="25">
        <v>5</v>
      </c>
      <c r="BA19" s="25" t="s">
        <v>20</v>
      </c>
      <c r="BB19" s="25">
        <v>7</v>
      </c>
      <c r="BC19" s="25" t="s">
        <v>55</v>
      </c>
      <c r="BD19" s="25">
        <v>6</v>
      </c>
      <c r="BE19" s="25" t="s">
        <v>20</v>
      </c>
      <c r="BF19" s="25">
        <v>7</v>
      </c>
      <c r="BG19" s="25" t="s">
        <v>20</v>
      </c>
      <c r="BH19" s="25">
        <v>6</v>
      </c>
      <c r="BI19" s="25" t="s">
        <v>20</v>
      </c>
      <c r="BJ19" s="25">
        <v>6</v>
      </c>
      <c r="BK19" s="25" t="s">
        <v>20</v>
      </c>
      <c r="BL19" s="25">
        <v>5</v>
      </c>
      <c r="BM19" s="25" t="s">
        <v>55</v>
      </c>
      <c r="BN19" s="25">
        <v>5</v>
      </c>
      <c r="BO19" s="25" t="s">
        <v>16</v>
      </c>
      <c r="BP19" s="25">
        <v>7</v>
      </c>
      <c r="BQ19" s="25" t="s">
        <v>55</v>
      </c>
      <c r="BR19" s="25">
        <v>6</v>
      </c>
      <c r="BS19" s="25" t="s">
        <v>20</v>
      </c>
      <c r="BT19" s="25">
        <v>6</v>
      </c>
      <c r="BU19" s="25" t="s">
        <v>56</v>
      </c>
      <c r="BV19" s="25">
        <v>7</v>
      </c>
      <c r="BW19" s="27" t="s">
        <v>20</v>
      </c>
      <c r="BX19" s="27">
        <v>6</v>
      </c>
      <c r="BY19" s="25" t="s">
        <v>20</v>
      </c>
      <c r="BZ19" s="25">
        <v>6</v>
      </c>
      <c r="CA19" s="25" t="s">
        <v>14</v>
      </c>
      <c r="CB19" s="25">
        <v>6</v>
      </c>
      <c r="CC19" s="25" t="s">
        <v>20</v>
      </c>
      <c r="CD19" s="25">
        <v>6</v>
      </c>
    </row>
    <row r="20" spans="1:82" s="7" customFormat="1" x14ac:dyDescent="0.2">
      <c r="E20" s="23"/>
      <c r="H20" s="13">
        <f>IF(G18=$E18,4,0)+IF(G18=$E18,IF(H18=$F18,1,0),0)
+IF(G19=$E19,4,0)+IF(G19=$E19,IF(H19=$F19,1,0),0)</f>
        <v>0</v>
      </c>
      <c r="I20" s="13"/>
      <c r="J20" s="13">
        <f t="shared" ref="J20:AT20" si="14">IF(I18=$E18,4,0)+IF(I18=$E18,IF(J18=$F18,1,0),0)
+IF(I19=$E19,4,0)+IF(I19=$E19,IF(J19=$F19,1,0),0)</f>
        <v>0</v>
      </c>
      <c r="K20" s="13"/>
      <c r="L20" s="13">
        <f t="shared" si="14"/>
        <v>0</v>
      </c>
      <c r="M20" s="39"/>
      <c r="N20" s="39">
        <f t="shared" si="14"/>
        <v>0</v>
      </c>
      <c r="O20" s="13"/>
      <c r="P20" s="13">
        <f t="shared" si="14"/>
        <v>0</v>
      </c>
      <c r="Q20" s="13"/>
      <c r="R20" s="13">
        <f t="shared" si="14"/>
        <v>0</v>
      </c>
      <c r="S20" s="28"/>
      <c r="T20" s="28">
        <f t="shared" si="14"/>
        <v>0</v>
      </c>
      <c r="U20" s="13"/>
      <c r="V20" s="13">
        <f t="shared" si="14"/>
        <v>0</v>
      </c>
      <c r="W20" s="13"/>
      <c r="X20" s="13">
        <f t="shared" si="14"/>
        <v>0</v>
      </c>
      <c r="Y20" s="13"/>
      <c r="Z20" s="13">
        <f t="shared" si="14"/>
        <v>0</v>
      </c>
      <c r="AA20" s="13"/>
      <c r="AB20" s="13">
        <f t="shared" si="14"/>
        <v>0</v>
      </c>
      <c r="AC20" s="28"/>
      <c r="AD20" s="28">
        <f t="shared" si="14"/>
        <v>0</v>
      </c>
      <c r="AE20" s="13"/>
      <c r="AF20" s="13">
        <f t="shared" si="14"/>
        <v>0</v>
      </c>
      <c r="AG20" s="13"/>
      <c r="AH20" s="13">
        <f t="shared" si="14"/>
        <v>0</v>
      </c>
      <c r="AI20" s="28"/>
      <c r="AJ20" s="28">
        <f t="shared" si="14"/>
        <v>0</v>
      </c>
      <c r="AK20" s="13"/>
      <c r="AL20" s="13">
        <f t="shared" si="14"/>
        <v>0</v>
      </c>
      <c r="AM20" s="13"/>
      <c r="AN20" s="13">
        <f t="shared" si="14"/>
        <v>0</v>
      </c>
      <c r="AO20" s="28"/>
      <c r="AP20" s="28">
        <f t="shared" si="14"/>
        <v>0</v>
      </c>
      <c r="AQ20" s="13"/>
      <c r="AR20" s="13">
        <f t="shared" si="14"/>
        <v>0</v>
      </c>
      <c r="AS20" s="39"/>
      <c r="AT20" s="39">
        <f t="shared" si="14"/>
        <v>0</v>
      </c>
      <c r="AU20" s="13"/>
      <c r="AV20" s="13">
        <f>IF(AU18=$E18,4,0)+IF(AU18=$E18,IF(AV18=$F18,1,0),0)
+IF(AU19=$E19,4,0)+IF(AU19=$E19,IF(AV19=$F19,1,0),0)</f>
        <v>0</v>
      </c>
      <c r="AW20" s="13"/>
      <c r="AX20" s="13">
        <f>IF(AW18=$E18,4,0)+IF(AW18=$E18,IF(AX18=$F18,1,0),0)
+IF(AW19=$E19,4,0)+IF(AW19=$E19,IF(AX19=$F19,1,0),0)</f>
        <v>0</v>
      </c>
      <c r="AY20" s="13"/>
      <c r="AZ20" s="13">
        <f>IF(AY18=$E18,4,0)+IF(AY18=$E18,IF(AZ18=$F18,1,0),0)
+IF(AY19=$E19,4,0)+IF(AY19=$E19,IF(AZ19=$F19,1,0),0)</f>
        <v>0</v>
      </c>
      <c r="BA20" s="13"/>
      <c r="BB20" s="13">
        <f>IF(BA18=$E18,4,0)+IF(BA18=$E18,IF(BB18=$F18,1,0),0)
+IF(BA19=$E19,4,0)+IF(BA19=$E19,IF(BB19=$F19,1,0),0)</f>
        <v>0</v>
      </c>
      <c r="BC20" s="13"/>
      <c r="BD20" s="13">
        <f>IF(BC18=$E18,4,0)+IF(BC18=$E18,IF(BD18=$F18,1,0),0)
+IF(BC19=$E19,4,0)+IF(BC19=$E19,IF(BD19=$F19,1,0),0)</f>
        <v>0</v>
      </c>
      <c r="BE20" s="13"/>
      <c r="BF20" s="13">
        <f>IF(BE18=$E18,4,0)+IF(BE18=$E18,IF(BF18=$F18,1,0),0)
+IF(BE19=$E19,4,0)+IF(BE19=$E19,IF(BF19=$F19,1,0),0)</f>
        <v>0</v>
      </c>
      <c r="BG20" s="13"/>
      <c r="BH20" s="13">
        <f>IF(BG18=$E18,4,0)+IF(BG18=$E18,IF(BH18=$F18,1,0),0)
+IF(BG19=$E19,4,0)+IF(BG19=$E19,IF(BH19=$F19,1,0),0)</f>
        <v>0</v>
      </c>
      <c r="BI20" s="13"/>
      <c r="BJ20" s="13">
        <f>IF(BI18=$E18,4,0)+IF(BI18=$E18,IF(BJ18=$F18,1,0),0)
+IF(BI19=$E19,4,0)+IF(BI19=$E19,IF(BJ19=$F19,1,0),0)</f>
        <v>0</v>
      </c>
      <c r="BK20" s="13"/>
      <c r="BL20" s="13">
        <f>IF(BK18=$E18,4,0)+IF(BK18=$E18,IF(BL18=$F18,1,0),0)
+IF(BK19=$E19,4,0)+IF(BK19=$E19,IF(BL19=$F19,1,0),0)</f>
        <v>0</v>
      </c>
      <c r="BM20" s="13"/>
      <c r="BN20" s="13">
        <f>IF(BM18=$E18,4,0)+IF(BM18=$E18,IF(BN18=$F18,1,0),0)
+IF(BM19=$E19,4,0)+IF(BM19=$E19,IF(BN19=$F19,1,0),0)</f>
        <v>0</v>
      </c>
      <c r="BO20" s="13"/>
      <c r="BP20" s="13">
        <f>IF(BO18=$E18,4,0)+IF(BO18=$E18,IF(BP18=$F18,1,0),0)
+IF(BO19=$E19,4,0)+IF(BO19=$E19,IF(BP19=$F19,1,0),0)</f>
        <v>0</v>
      </c>
      <c r="BQ20" s="13"/>
      <c r="BR20" s="13">
        <f>IF(BQ18=$E18,4,0)+IF(BQ18=$E18,IF(BR18=$F18,1,0),0)
+IF(BQ19=$E19,4,0)+IF(BQ19=$E19,IF(BR19=$F19,1,0),0)</f>
        <v>0</v>
      </c>
      <c r="BS20" s="13"/>
      <c r="BT20" s="13">
        <f t="shared" ref="BT20" si="15">IF(BS18=$E18,4,0)+IF(BS18=$E18,IF(BT18=$F18,1,0),0)
+IF(BS19=$E19,4,0)+IF(BS19=$E19,IF(BT19=$F19,1,0),0)</f>
        <v>0</v>
      </c>
      <c r="BU20" s="13"/>
      <c r="BV20" s="13">
        <f t="shared" ref="BV20" si="16">IF(BU18=$E18,4,0)+IF(BU18=$E18,IF(BV18=$F18,1,0),0)
+IF(BU19=$E19,4,0)+IF(BU19=$E19,IF(BV19=$F19,1,0),0)</f>
        <v>0</v>
      </c>
      <c r="BW20" s="28"/>
      <c r="BX20" s="28">
        <f t="shared" ref="BX20" si="17">IF(BW18=$E18,4,0)+IF(BW18=$E18,IF(BX18=$F18,1,0),0)
+IF(BW19=$E19,4,0)+IF(BW19=$E19,IF(BX19=$F19,1,0),0)</f>
        <v>0</v>
      </c>
      <c r="BY20" s="13"/>
      <c r="BZ20" s="13">
        <f t="shared" ref="BZ20" si="18">IF(BY18=$E18,4,0)+IF(BY18=$E18,IF(BZ18=$F18,1,0),0)
+IF(BY19=$E19,4,0)+IF(BY19=$E19,IF(BZ19=$F19,1,0),0)</f>
        <v>0</v>
      </c>
      <c r="CA20" s="13"/>
      <c r="CB20" s="13">
        <f t="shared" ref="CB20" si="19">IF(CA18=$E18,4,0)+IF(CA18=$E18,IF(CB18=$F18,1,0),0)
+IF(CA19=$E19,4,0)+IF(CA19=$E19,IF(CB19=$F19,1,0),0)</f>
        <v>0</v>
      </c>
      <c r="CC20" s="13"/>
      <c r="CD20" s="13">
        <f t="shared" ref="CD20" si="20">IF(CC18=$E18,4,0)+IF(CC18=$E18,IF(CD18=$F18,1,0),0)
+IF(CC19=$E19,4,0)+IF(CC19=$E19,IF(CD19=$F19,1,0),0)</f>
        <v>0</v>
      </c>
    </row>
    <row r="21" spans="1:82" x14ac:dyDescent="0.2">
      <c r="E21" s="23"/>
      <c r="I21" s="9"/>
      <c r="K21" s="9"/>
      <c r="O21" s="9"/>
      <c r="Q21" s="9"/>
      <c r="U21" s="9"/>
      <c r="Y21" s="9"/>
    </row>
    <row r="22" spans="1:82" x14ac:dyDescent="0.2">
      <c r="A22" s="23">
        <f>E18</f>
        <v>0</v>
      </c>
      <c r="B22" s="22"/>
      <c r="C22" s="15">
        <f>E19</f>
        <v>0</v>
      </c>
      <c r="E22" s="15"/>
      <c r="G22" s="25" t="s">
        <v>12</v>
      </c>
      <c r="H22" s="25">
        <v>6</v>
      </c>
      <c r="I22" s="25" t="s">
        <v>52</v>
      </c>
      <c r="J22" s="25">
        <v>7</v>
      </c>
      <c r="K22" s="25" t="s">
        <v>20</v>
      </c>
      <c r="L22" s="25">
        <v>6</v>
      </c>
      <c r="M22" s="38" t="s">
        <v>13</v>
      </c>
      <c r="N22" s="38">
        <v>6</v>
      </c>
      <c r="O22" s="25" t="s">
        <v>55</v>
      </c>
      <c r="P22" s="25">
        <v>6</v>
      </c>
      <c r="Q22" s="25" t="s">
        <v>20</v>
      </c>
      <c r="R22" s="25">
        <v>6</v>
      </c>
      <c r="S22" s="27" t="s">
        <v>56</v>
      </c>
      <c r="T22" s="27">
        <v>6</v>
      </c>
      <c r="U22" s="25" t="s">
        <v>12</v>
      </c>
      <c r="V22" s="25">
        <v>7</v>
      </c>
      <c r="W22" s="25" t="s">
        <v>12</v>
      </c>
      <c r="X22" s="25">
        <v>7</v>
      </c>
      <c r="Y22" s="25" t="s">
        <v>12</v>
      </c>
      <c r="Z22" s="25">
        <v>7</v>
      </c>
      <c r="AA22" s="25" t="s">
        <v>20</v>
      </c>
      <c r="AB22" s="25">
        <v>7</v>
      </c>
      <c r="AC22" s="27" t="s">
        <v>52</v>
      </c>
      <c r="AD22" s="27">
        <v>7</v>
      </c>
      <c r="AE22" s="25" t="s">
        <v>20</v>
      </c>
      <c r="AF22" s="25">
        <v>7</v>
      </c>
      <c r="AG22" s="25" t="s">
        <v>12</v>
      </c>
      <c r="AH22" s="25">
        <v>7</v>
      </c>
      <c r="AI22" s="27" t="s">
        <v>52</v>
      </c>
      <c r="AJ22" s="27">
        <v>5</v>
      </c>
      <c r="AK22" s="25" t="s">
        <v>12</v>
      </c>
      <c r="AL22" s="25">
        <v>7</v>
      </c>
      <c r="AM22" s="25" t="s">
        <v>14</v>
      </c>
      <c r="AN22" s="25">
        <v>6</v>
      </c>
      <c r="AO22" s="27" t="s">
        <v>56</v>
      </c>
      <c r="AP22" s="27">
        <v>6</v>
      </c>
      <c r="AQ22" s="25" t="s">
        <v>53</v>
      </c>
      <c r="AR22" s="25">
        <v>7</v>
      </c>
      <c r="AS22" s="38" t="s">
        <v>13</v>
      </c>
      <c r="AT22" s="38">
        <v>6</v>
      </c>
      <c r="AU22" s="25" t="s">
        <v>20</v>
      </c>
      <c r="AV22" s="25">
        <v>7</v>
      </c>
      <c r="AW22" s="25" t="s">
        <v>29</v>
      </c>
      <c r="AX22" s="25">
        <v>7</v>
      </c>
      <c r="AY22" s="25" t="s">
        <v>20</v>
      </c>
      <c r="AZ22" s="25">
        <v>7</v>
      </c>
      <c r="BA22" s="25" t="s">
        <v>20</v>
      </c>
      <c r="BB22" s="25">
        <v>6</v>
      </c>
      <c r="BC22" s="25" t="s">
        <v>12</v>
      </c>
      <c r="BD22" s="25">
        <v>5</v>
      </c>
      <c r="BE22" s="25" t="s">
        <v>20</v>
      </c>
      <c r="BF22" s="25">
        <v>7</v>
      </c>
      <c r="BG22" s="25" t="s">
        <v>20</v>
      </c>
      <c r="BH22" s="25">
        <v>6</v>
      </c>
      <c r="BI22" s="25" t="s">
        <v>12</v>
      </c>
      <c r="BJ22" s="25">
        <v>6</v>
      </c>
      <c r="BK22" s="25" t="s">
        <v>20</v>
      </c>
      <c r="BL22" s="25">
        <v>7</v>
      </c>
      <c r="BM22" s="25" t="s">
        <v>55</v>
      </c>
      <c r="BN22" s="25">
        <v>6</v>
      </c>
      <c r="BO22" s="25" t="s">
        <v>16</v>
      </c>
      <c r="BP22" s="25">
        <v>6</v>
      </c>
      <c r="BQ22" s="25" t="s">
        <v>12</v>
      </c>
      <c r="BR22" s="25">
        <v>6</v>
      </c>
      <c r="BS22" s="25" t="s">
        <v>53</v>
      </c>
      <c r="BT22" s="25">
        <v>7</v>
      </c>
      <c r="BU22" s="25" t="s">
        <v>12</v>
      </c>
      <c r="BV22" s="25">
        <v>5</v>
      </c>
      <c r="BW22" s="27" t="s">
        <v>20</v>
      </c>
      <c r="BX22" s="27">
        <v>7</v>
      </c>
      <c r="BY22" s="25" t="s">
        <v>20</v>
      </c>
      <c r="BZ22" s="25">
        <v>6</v>
      </c>
      <c r="CA22" s="25" t="s">
        <v>12</v>
      </c>
      <c r="CB22" s="25">
        <v>6</v>
      </c>
      <c r="CC22" s="25" t="s">
        <v>20</v>
      </c>
      <c r="CD22" s="25">
        <v>6</v>
      </c>
    </row>
    <row r="23" spans="1:82" s="7" customFormat="1" x14ac:dyDescent="0.2">
      <c r="H23" s="13">
        <f>IF(G22=$E22,5,0)+IF(G22=$E22,IF(H22=$F22,1,0),0)</f>
        <v>0</v>
      </c>
      <c r="I23" s="13"/>
      <c r="J23" s="13">
        <f t="shared" ref="J23:AT23" si="21">IF(I22=$E22,5,0)+IF(I22=$E22,IF(J22=$F22,1,0),0)</f>
        <v>0</v>
      </c>
      <c r="K23" s="13"/>
      <c r="L23" s="13">
        <f t="shared" si="21"/>
        <v>0</v>
      </c>
      <c r="M23" s="39"/>
      <c r="N23" s="39">
        <f t="shared" si="21"/>
        <v>0</v>
      </c>
      <c r="O23" s="13"/>
      <c r="P23" s="13">
        <f t="shared" si="21"/>
        <v>0</v>
      </c>
      <c r="Q23" s="13"/>
      <c r="R23" s="13">
        <f t="shared" si="21"/>
        <v>0</v>
      </c>
      <c r="S23" s="28"/>
      <c r="T23" s="28">
        <f t="shared" si="21"/>
        <v>0</v>
      </c>
      <c r="U23" s="13"/>
      <c r="V23" s="13">
        <f t="shared" si="21"/>
        <v>0</v>
      </c>
      <c r="W23" s="13"/>
      <c r="X23" s="13">
        <f t="shared" si="21"/>
        <v>0</v>
      </c>
      <c r="Y23" s="13"/>
      <c r="Z23" s="13">
        <f t="shared" si="21"/>
        <v>0</v>
      </c>
      <c r="AA23" s="13"/>
      <c r="AB23" s="13">
        <f t="shared" si="21"/>
        <v>0</v>
      </c>
      <c r="AC23" s="28"/>
      <c r="AD23" s="28">
        <f t="shared" si="21"/>
        <v>0</v>
      </c>
      <c r="AE23" s="13"/>
      <c r="AF23" s="13">
        <f t="shared" si="21"/>
        <v>0</v>
      </c>
      <c r="AG23" s="13"/>
      <c r="AH23" s="13">
        <f t="shared" si="21"/>
        <v>0</v>
      </c>
      <c r="AI23" s="28"/>
      <c r="AJ23" s="28">
        <f t="shared" si="21"/>
        <v>0</v>
      </c>
      <c r="AK23" s="13"/>
      <c r="AL23" s="13">
        <f t="shared" si="21"/>
        <v>0</v>
      </c>
      <c r="AM23" s="13"/>
      <c r="AN23" s="13">
        <f t="shared" si="21"/>
        <v>0</v>
      </c>
      <c r="AO23" s="28"/>
      <c r="AP23" s="28">
        <f t="shared" si="21"/>
        <v>0</v>
      </c>
      <c r="AQ23" s="13"/>
      <c r="AR23" s="13">
        <f t="shared" si="21"/>
        <v>0</v>
      </c>
      <c r="AS23" s="39"/>
      <c r="AT23" s="39">
        <f t="shared" si="21"/>
        <v>0</v>
      </c>
      <c r="AU23" s="13"/>
      <c r="AV23" s="13">
        <f>IF(AU22=$E22,5,0)+IF(AU22=$E22,IF(AV22=$F22,1,0),0)</f>
        <v>0</v>
      </c>
      <c r="AW23" s="13"/>
      <c r="AX23" s="13">
        <f>IF(AW22=$E22,5,0)+IF(AW22=$E22,IF(AX22=$F22,1,0),0)</f>
        <v>0</v>
      </c>
      <c r="AY23" s="13"/>
      <c r="AZ23" s="13">
        <f>IF(AY22=$E22,5,0)+IF(AY22=$E22,IF(AZ22=$F22,1,0),0)</f>
        <v>0</v>
      </c>
      <c r="BA23" s="13"/>
      <c r="BB23" s="13">
        <f>IF(BA22=$E22,5,0)+IF(BA22=$E22,IF(BB22=$F22,1,0),0)</f>
        <v>0</v>
      </c>
      <c r="BC23" s="13"/>
      <c r="BD23" s="13">
        <f>IF(BC22=$E22,5,0)+IF(BC22=$E22,IF(BD22=$F22,1,0),0)</f>
        <v>0</v>
      </c>
      <c r="BE23" s="13"/>
      <c r="BF23" s="13">
        <f>IF(BE22=$E22,5,0)+IF(BE22=$E22,IF(BF22=$F22,1,0),0)</f>
        <v>0</v>
      </c>
      <c r="BG23" s="13"/>
      <c r="BH23" s="13">
        <f>IF(BG22=$E22,5,0)+IF(BG22=$E22,IF(BH22=$F22,1,0),0)</f>
        <v>0</v>
      </c>
      <c r="BI23" s="13"/>
      <c r="BJ23" s="13">
        <f>IF(BI22=$E22,5,0)+IF(BI22=$E22,IF(BJ22=$F22,1,0),0)</f>
        <v>0</v>
      </c>
      <c r="BK23" s="13"/>
      <c r="BL23" s="13">
        <f>IF(BK22=$E22,5,0)+IF(BK22=$E22,IF(BL22=$F22,1,0),0)</f>
        <v>0</v>
      </c>
      <c r="BM23" s="13"/>
      <c r="BN23" s="13">
        <f>IF(BM22=$E22,5,0)+IF(BM22=$E22,IF(BN22=$F22,1,0),0)</f>
        <v>0</v>
      </c>
      <c r="BO23" s="13"/>
      <c r="BP23" s="13">
        <f>IF(BO22=$E22,5,0)+IF(BO22=$E22,IF(BP22=$F22,1,0),0)</f>
        <v>0</v>
      </c>
      <c r="BQ23" s="13"/>
      <c r="BR23" s="13">
        <f>IF(BQ22=$E22,5,0)+IF(BQ22=$E22,IF(BR22=$F22,1,0),0)</f>
        <v>0</v>
      </c>
      <c r="BS23" s="13"/>
      <c r="BT23" s="13">
        <f t="shared" ref="BT23" si="22">IF(BS22=$E22,5,0)+IF(BS22=$E22,IF(BT22=$F22,1,0),0)</f>
        <v>0</v>
      </c>
      <c r="BU23" s="13"/>
      <c r="BV23" s="13">
        <f t="shared" ref="BV23" si="23">IF(BU22=$E22,5,0)+IF(BU22=$E22,IF(BV22=$F22,1,0),0)</f>
        <v>0</v>
      </c>
      <c r="BW23" s="28"/>
      <c r="BX23" s="28">
        <f t="shared" ref="BX23" si="24">IF(BW22=$E22,5,0)+IF(BW22=$E22,IF(BX22=$F22,1,0),0)</f>
        <v>0</v>
      </c>
      <c r="BY23" s="13"/>
      <c r="BZ23" s="13">
        <f t="shared" ref="BZ23" si="25">IF(BY22=$E22,5,0)+IF(BY22=$E22,IF(BZ22=$F22,1,0),0)</f>
        <v>0</v>
      </c>
      <c r="CA23" s="13"/>
      <c r="CB23" s="13">
        <f t="shared" ref="CB23" si="26">IF(CA22=$E22,5,0)+IF(CA22=$E22,IF(CB22=$F22,1,0),0)</f>
        <v>0</v>
      </c>
      <c r="CC23" s="13"/>
      <c r="CD23" s="13">
        <f t="shared" ref="CD23" si="27">IF(CC22=$E22,5,0)+IF(CC22=$E22,IF(CD22=$F22,1,0),0)</f>
        <v>0</v>
      </c>
    </row>
    <row r="24" spans="1:82" x14ac:dyDescent="0.2"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</row>
    <row r="25" spans="1:82" s="4" customFormat="1" x14ac:dyDescent="0.2">
      <c r="G25" s="5" t="s">
        <v>6</v>
      </c>
      <c r="H25" s="6">
        <f>SUM(H10+H16+H20+H23)</f>
        <v>10</v>
      </c>
      <c r="I25" s="6"/>
      <c r="J25" s="6">
        <f t="shared" ref="J25:AT25" si="28">SUM(J10+J16+J20+J23)</f>
        <v>12</v>
      </c>
      <c r="K25" s="6"/>
      <c r="L25" s="6">
        <f t="shared" si="28"/>
        <v>10</v>
      </c>
      <c r="M25" s="45"/>
      <c r="N25" s="45">
        <f t="shared" si="28"/>
        <v>13</v>
      </c>
      <c r="O25" s="6"/>
      <c r="P25" s="6">
        <f t="shared" si="28"/>
        <v>9</v>
      </c>
      <c r="Q25" s="6"/>
      <c r="R25" s="6">
        <f t="shared" si="28"/>
        <v>9</v>
      </c>
      <c r="S25" s="35"/>
      <c r="T25" s="35">
        <f t="shared" si="28"/>
        <v>9</v>
      </c>
      <c r="U25" s="6"/>
      <c r="V25" s="6">
        <f t="shared" si="28"/>
        <v>12</v>
      </c>
      <c r="W25" s="6"/>
      <c r="X25" s="6">
        <f t="shared" si="28"/>
        <v>14</v>
      </c>
      <c r="Y25" s="6"/>
      <c r="Z25" s="6">
        <f t="shared" si="28"/>
        <v>11</v>
      </c>
      <c r="AA25" s="6"/>
      <c r="AB25" s="6">
        <f t="shared" si="28"/>
        <v>9</v>
      </c>
      <c r="AC25" s="35"/>
      <c r="AD25" s="35">
        <f t="shared" si="28"/>
        <v>13</v>
      </c>
      <c r="AE25" s="6"/>
      <c r="AF25" s="6">
        <f t="shared" si="28"/>
        <v>8</v>
      </c>
      <c r="AG25" s="6"/>
      <c r="AH25" s="6">
        <f t="shared" si="28"/>
        <v>8</v>
      </c>
      <c r="AI25" s="35"/>
      <c r="AJ25" s="35">
        <f t="shared" si="28"/>
        <v>11</v>
      </c>
      <c r="AK25" s="6"/>
      <c r="AL25" s="6">
        <f t="shared" si="28"/>
        <v>13</v>
      </c>
      <c r="AM25" s="6"/>
      <c r="AN25" s="6">
        <f t="shared" si="28"/>
        <v>11</v>
      </c>
      <c r="AO25" s="35"/>
      <c r="AP25" s="35">
        <f t="shared" si="28"/>
        <v>8</v>
      </c>
      <c r="AQ25" s="6"/>
      <c r="AR25" s="6">
        <f t="shared" si="28"/>
        <v>9</v>
      </c>
      <c r="AS25" s="45"/>
      <c r="AT25" s="45">
        <f t="shared" si="28"/>
        <v>8</v>
      </c>
      <c r="AU25" s="6"/>
      <c r="AV25" s="6">
        <f t="shared" ref="AV25:CD25" si="29">SUM(AV10+AV16+AV20+AV23)</f>
        <v>13</v>
      </c>
      <c r="AW25" s="6"/>
      <c r="AX25" s="6">
        <f t="shared" si="29"/>
        <v>10</v>
      </c>
      <c r="AY25" s="6"/>
      <c r="AZ25" s="6">
        <f t="shared" si="29"/>
        <v>8</v>
      </c>
      <c r="BA25" s="6"/>
      <c r="BB25" s="6">
        <f t="shared" si="29"/>
        <v>9</v>
      </c>
      <c r="BC25" s="6"/>
      <c r="BD25" s="6">
        <f t="shared" si="29"/>
        <v>11</v>
      </c>
      <c r="BE25" s="6"/>
      <c r="BF25" s="6">
        <f t="shared" si="29"/>
        <v>8</v>
      </c>
      <c r="BG25" s="6"/>
      <c r="BH25" s="6">
        <f t="shared" si="29"/>
        <v>9</v>
      </c>
      <c r="BI25" s="6"/>
      <c r="BJ25" s="6">
        <f t="shared" si="29"/>
        <v>11</v>
      </c>
      <c r="BK25" s="6"/>
      <c r="BL25" s="6">
        <f t="shared" si="29"/>
        <v>10</v>
      </c>
      <c r="BM25" s="6"/>
      <c r="BN25" s="6">
        <f t="shared" si="29"/>
        <v>7</v>
      </c>
      <c r="BO25" s="6"/>
      <c r="BP25" s="6">
        <f t="shared" si="29"/>
        <v>6</v>
      </c>
      <c r="BQ25" s="6"/>
      <c r="BR25" s="6">
        <f t="shared" si="29"/>
        <v>10</v>
      </c>
      <c r="BS25" s="6"/>
      <c r="BT25" s="6">
        <f t="shared" si="29"/>
        <v>11</v>
      </c>
      <c r="BU25" s="6"/>
      <c r="BV25" s="6">
        <f t="shared" si="29"/>
        <v>8</v>
      </c>
      <c r="BW25" s="35"/>
      <c r="BX25" s="35">
        <f t="shared" si="29"/>
        <v>14</v>
      </c>
      <c r="BY25" s="6"/>
      <c r="BZ25" s="6">
        <f t="shared" si="29"/>
        <v>7</v>
      </c>
      <c r="CA25" s="6"/>
      <c r="CB25" s="6">
        <f t="shared" si="29"/>
        <v>9</v>
      </c>
      <c r="CC25" s="6"/>
      <c r="CD25" s="6">
        <f t="shared" si="29"/>
        <v>10</v>
      </c>
    </row>
    <row r="27" spans="1:82" x14ac:dyDescent="0.2">
      <c r="AK27" s="2"/>
      <c r="AQ27" s="2"/>
      <c r="AS27" s="47"/>
    </row>
    <row r="30" spans="1:82" x14ac:dyDescent="0.2">
      <c r="G30" s="1"/>
      <c r="I30" s="1"/>
      <c r="K30" s="1"/>
      <c r="M30" s="46"/>
      <c r="O30" s="1"/>
      <c r="Q30" s="1"/>
      <c r="S30" s="36"/>
      <c r="U30" s="1"/>
      <c r="W30" s="1"/>
      <c r="Y30" s="1"/>
      <c r="AA30" s="1"/>
      <c r="AC30" s="36"/>
      <c r="AE30" s="1"/>
      <c r="AG30" s="1"/>
      <c r="AI30" s="36"/>
      <c r="AK30" s="1"/>
      <c r="AM30" s="1"/>
      <c r="AO30" s="36"/>
      <c r="AQ30" s="1"/>
      <c r="AS30" s="46"/>
    </row>
    <row r="31" spans="1:82" x14ac:dyDescent="0.2">
      <c r="X31"/>
    </row>
    <row r="32" spans="1:82" x14ac:dyDescent="0.2">
      <c r="X32"/>
    </row>
    <row r="33" spans="7:45" x14ac:dyDescent="0.2">
      <c r="X33"/>
    </row>
    <row r="34" spans="7:45" x14ac:dyDescent="0.2">
      <c r="G34" s="1"/>
      <c r="I34" s="1"/>
      <c r="K34" s="1"/>
      <c r="M34" s="46"/>
      <c r="O34" s="1"/>
      <c r="Q34" s="1"/>
      <c r="S34" s="36"/>
      <c r="U34" s="1"/>
      <c r="W34" s="1"/>
      <c r="X34"/>
      <c r="Y34" s="1"/>
      <c r="AA34" s="1"/>
      <c r="AC34" s="36"/>
      <c r="AE34" s="1"/>
      <c r="AG34" s="1"/>
      <c r="AI34" s="36"/>
      <c r="AK34" s="1"/>
      <c r="AM34" s="1"/>
      <c r="AO34" s="36"/>
      <c r="AQ34" s="1"/>
      <c r="AS34" s="46"/>
    </row>
    <row r="35" spans="7:45" x14ac:dyDescent="0.2">
      <c r="X35"/>
    </row>
    <row r="36" spans="7:45" x14ac:dyDescent="0.2">
      <c r="X36"/>
    </row>
    <row r="37" spans="7:45" x14ac:dyDescent="0.2">
      <c r="X37"/>
    </row>
    <row r="38" spans="7:45" x14ac:dyDescent="0.2">
      <c r="G38" s="1"/>
      <c r="I38" s="1"/>
      <c r="K38" s="1"/>
      <c r="M38" s="46"/>
      <c r="O38" s="1"/>
      <c r="Q38" s="1"/>
      <c r="S38" s="36"/>
      <c r="U38" s="1"/>
      <c r="W38" s="1"/>
      <c r="X38"/>
      <c r="Y38" s="1"/>
      <c r="AA38" s="1"/>
      <c r="AC38" s="36"/>
      <c r="AE38" s="1"/>
      <c r="AG38" s="1"/>
      <c r="AI38" s="36"/>
      <c r="AK38" s="1"/>
      <c r="AM38" s="1"/>
      <c r="AO38" s="36"/>
      <c r="AQ38" s="1"/>
      <c r="AS38" s="46"/>
    </row>
    <row r="39" spans="7:45" x14ac:dyDescent="0.2">
      <c r="X39"/>
    </row>
    <row r="40" spans="7:45" x14ac:dyDescent="0.2">
      <c r="X40"/>
    </row>
    <row r="41" spans="7:45" x14ac:dyDescent="0.2">
      <c r="X41"/>
    </row>
    <row r="42" spans="7:45" x14ac:dyDescent="0.2">
      <c r="G42" s="1"/>
      <c r="I42" s="1"/>
      <c r="K42" s="1"/>
      <c r="M42" s="46"/>
      <c r="O42" s="1"/>
      <c r="Q42" s="1"/>
      <c r="S42" s="36"/>
      <c r="U42" s="1"/>
      <c r="W42" s="1"/>
      <c r="X42"/>
      <c r="Y42" s="1"/>
      <c r="AA42" s="1"/>
      <c r="AC42" s="36"/>
      <c r="AE42" s="1"/>
      <c r="AG42" s="1"/>
      <c r="AI42" s="36"/>
      <c r="AK42" s="1"/>
      <c r="AM42" s="1"/>
      <c r="AO42" s="36"/>
      <c r="AQ42" s="1"/>
      <c r="AS42" s="46"/>
    </row>
    <row r="43" spans="7:45" x14ac:dyDescent="0.2">
      <c r="X43"/>
    </row>
    <row r="44" spans="7:45" x14ac:dyDescent="0.2">
      <c r="X44"/>
    </row>
  </sheetData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76200</xdr:colOff>
                    <xdr:row>0</xdr:row>
                    <xdr:rowOff>47625</xdr:rowOff>
                  </from>
                  <to>
                    <xdr:col>0</xdr:col>
                    <xdr:colOff>676275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 Picks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Lee, William</dc:creator>
  <cp:lastModifiedBy>William Lee</cp:lastModifiedBy>
  <cp:lastPrinted>2014-06-24T15:52:25Z</cp:lastPrinted>
  <dcterms:created xsi:type="dcterms:W3CDTF">2012-04-27T18:12:25Z</dcterms:created>
  <dcterms:modified xsi:type="dcterms:W3CDTF">2019-03-12T00:24:34Z</dcterms:modified>
</cp:coreProperties>
</file>